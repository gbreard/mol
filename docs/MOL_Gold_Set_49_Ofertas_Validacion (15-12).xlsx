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gbrea\Downloads\"/>
    </mc:Choice>
  </mc:AlternateContent>
  <xr:revisionPtr revIDLastSave="0" documentId="8_{6D23594D-6585-46DC-902B-3744915D1320}" xr6:coauthVersionLast="47" xr6:coauthVersionMax="47" xr10:uidLastSave="{00000000-0000-0000-0000-000000000000}"/>
  <bookViews>
    <workbookView xWindow="-110" yWindow="-110" windowWidth="19420" windowHeight="10300" tabRatio="933" firstSheet="15" activeTab="17" xr2:uid="{00000000-000D-0000-FFFF-FFFF00000000}"/>
  </bookViews>
  <sheets>
    <sheet name="01_Ofertas_Originales" sheetId="1" r:id="rId1"/>
    <sheet name="02_NLP_Extraccion" sheetId="2" r:id="rId2"/>
    <sheet name="02_NLP_Extraccion (2)" sheetId="5" r:id="rId3"/>
    <sheet name="03_Matching_ESCO" sheetId="3" r:id="rId4"/>
    <sheet name="04_Resumen" sheetId="4" r:id="rId5"/>
    <sheet name="05_Feedback_NLP" sheetId="6" r:id="rId6"/>
    <sheet name="06_Resumen_Errores" sheetId="7" r:id="rId7"/>
    <sheet name="07_Reglas_Mejora" sheetId="8" r:id="rId8"/>
    <sheet name="08_Feedback_Matching" sheetId="9" r:id="rId9"/>
    <sheet name="09_Feedback_Skills_NLP" sheetId="10" r:id="rId10"/>
    <sheet name="10_Matching_Skills_ESCO" sheetId="11" r:id="rId11"/>
    <sheet name="11_Ofertas_Skills_ESCO" sheetId="12" r:id="rId12"/>
    <sheet name="12_Diccionario_ESCO" sheetId="14" r:id="rId13"/>
    <sheet name="13_Dashboard" sheetId="15" r:id="rId14"/>
    <sheet name="14_Eval_Tareas_NLP" sheetId="16" r:id="rId15"/>
    <sheet name="15_Skills_Desde_Tareas" sheetId="17" r:id="rId16"/>
    <sheet name="16_Skills_Impl_Tareas_ESCO" sheetId="18" r:id="rId17"/>
    <sheet name="17_Skills_Completas_ESCO" sheetId="19" r:id="rId18"/>
    <sheet name="Comparación" sheetId="20" r:id="rId19"/>
  </sheets>
  <definedNames>
    <definedName name="_xlnm._FilterDatabase" localSheetId="0" hidden="1">'01_Ofertas_Originales'!$A$1:$I$50</definedName>
    <definedName name="_xlnm._FilterDatabase" localSheetId="1" hidden="1">'02_NLP_Extraccion'!$A$1:$AQ$50</definedName>
    <definedName name="_xlnm._FilterDatabase" localSheetId="2" hidden="1">'02_NLP_Extraccion (2)'!$A$1:$AQ$50</definedName>
    <definedName name="_xlnm._FilterDatabase" localSheetId="3" hidden="1">'03_Matching_ESCO'!$A$1:$N$50</definedName>
    <definedName name="_xlnm._FilterDatabase" localSheetId="10" hidden="1">'10_Matching_Skills_ESCO'!$A$1:$J$188</definedName>
    <definedName name="_xlnm._FilterDatabase" localSheetId="17" hidden="1">'17_Skills_Completas_ESCO'!$A$1:$J$633</definedName>
  </definedNames>
  <calcPr calcId="191029"/>
  <pivotCaches>
    <pivotCache cacheId="3" r:id="rId20"/>
    <pivotCache cacheId="8" r:id="rId2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7" l="1"/>
  <c r="F26" i="17"/>
  <c r="E26" i="17"/>
  <c r="D26" i="17"/>
  <c r="C26" i="17"/>
  <c r="C46" i="15"/>
  <c r="C45" i="15"/>
  <c r="C44" i="15"/>
  <c r="C43" i="15"/>
  <c r="C42" i="15"/>
  <c r="C41" i="15"/>
  <c r="C40" i="15"/>
  <c r="C39" i="15"/>
  <c r="C38" i="15"/>
  <c r="C37" i="15"/>
  <c r="G40" i="15"/>
  <c r="F40" i="15"/>
  <c r="G39" i="15"/>
  <c r="F39" i="15"/>
  <c r="G38" i="15"/>
  <c r="F38" i="15"/>
  <c r="G37" i="15"/>
  <c r="F37" i="15"/>
  <c r="G36" i="15"/>
  <c r="F36" i="15"/>
  <c r="G35" i="15"/>
  <c r="F35" i="15"/>
  <c r="G34" i="15"/>
  <c r="F34" i="15"/>
  <c r="G33" i="15"/>
  <c r="F33" i="15"/>
  <c r="G32" i="15"/>
  <c r="F32" i="15"/>
  <c r="G31" i="15"/>
  <c r="F31" i="15"/>
  <c r="G30" i="15"/>
  <c r="F30" i="15"/>
  <c r="G29" i="15"/>
  <c r="F29" i="15"/>
  <c r="G28" i="15"/>
  <c r="F28" i="15"/>
  <c r="G27" i="15"/>
  <c r="F27" i="15"/>
  <c r="G26" i="15"/>
  <c r="F26" i="15"/>
  <c r="C32" i="15"/>
  <c r="B32" i="15"/>
  <c r="C31" i="15"/>
  <c r="B31" i="15"/>
  <c r="C30" i="15"/>
  <c r="B30" i="15"/>
  <c r="C29" i="15"/>
  <c r="B29" i="15"/>
  <c r="C28" i="15"/>
  <c r="B28" i="15"/>
  <c r="C27" i="15"/>
  <c r="B27" i="15"/>
  <c r="C26" i="15"/>
  <c r="B26" i="15"/>
  <c r="G18" i="15"/>
  <c r="F18" i="15"/>
  <c r="G17" i="15"/>
  <c r="F17" i="15"/>
  <c r="G16" i="15"/>
  <c r="F16" i="15"/>
  <c r="C21" i="15"/>
  <c r="B21" i="15"/>
  <c r="C20" i="15"/>
  <c r="B20" i="15"/>
  <c r="C19" i="15"/>
  <c r="B19" i="15"/>
  <c r="C18" i="15"/>
  <c r="B18" i="15"/>
  <c r="C17" i="15"/>
  <c r="B17" i="15"/>
  <c r="C16" i="15"/>
  <c r="B16" i="15"/>
  <c r="H9" i="15"/>
  <c r="H8" i="15"/>
  <c r="H7" i="15"/>
  <c r="H6" i="15"/>
  <c r="E9" i="15"/>
  <c r="E8" i="15"/>
  <c r="E7" i="15"/>
  <c r="E6" i="15"/>
  <c r="B11" i="15"/>
  <c r="B10" i="15" a="1"/>
  <c r="B10" i="15" s="1"/>
  <c r="B9" i="15" a="1"/>
  <c r="B9" i="15" s="1"/>
  <c r="B8" i="15"/>
  <c r="B7" i="15"/>
  <c r="B6" i="15"/>
  <c r="D161" i="11"/>
  <c r="D160" i="11"/>
  <c r="D159" i="11"/>
  <c r="D158" i="11"/>
  <c r="D157" i="11"/>
  <c r="D156" i="11"/>
  <c r="D155" i="11"/>
  <c r="D154" i="11"/>
  <c r="D153" i="11"/>
  <c r="D152" i="11"/>
  <c r="D151" i="11"/>
  <c r="D150" i="11"/>
  <c r="D149" i="11"/>
  <c r="D148" i="11"/>
  <c r="D147" i="11"/>
  <c r="D146" i="11"/>
  <c r="D145" i="11"/>
  <c r="D144" i="11"/>
  <c r="D143" i="11"/>
  <c r="D142" i="11"/>
  <c r="C160" i="11"/>
  <c r="C159" i="11"/>
  <c r="C158" i="11"/>
  <c r="C157" i="11"/>
  <c r="C156" i="11"/>
  <c r="C155" i="11"/>
  <c r="C154" i="11"/>
  <c r="C153" i="11"/>
  <c r="C152" i="11"/>
  <c r="C151" i="11"/>
  <c r="C150" i="11"/>
  <c r="C149" i="11"/>
  <c r="C148" i="11"/>
  <c r="C147" i="11"/>
  <c r="C146" i="11"/>
  <c r="C145" i="11"/>
  <c r="C144" i="11"/>
  <c r="C143" i="11"/>
  <c r="C142" i="1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<sst xmlns="http://schemas.openxmlformats.org/spreadsheetml/2006/main" count="14751" uniqueCount="2969">
  <si>
    <t>ID</t>
  </si>
  <si>
    <t>→ NLP</t>
  </si>
  <si>
    <t>Título</t>
  </si>
  <si>
    <t>Empresa</t>
  </si>
  <si>
    <t>Ubicación</t>
  </si>
  <si>
    <t>Fecha Publicación</t>
  </si>
  <si>
    <t>Portal</t>
  </si>
  <si>
    <t>Descripción Completa</t>
  </si>
  <si>
    <t>URL</t>
  </si>
  <si>
    <t>1118026700</t>
  </si>
  <si>
    <t>VENDEDOR DE REPUESTOS AUTOMOTOR</t>
  </si>
  <si>
    <t>SERVICE CARS SA</t>
  </si>
  <si>
    <t>Capital Federal, Buenos Aires</t>
  </si>
  <si>
    <t>29-10-2025</t>
  </si>
  <si>
    <t>bumeran</t>
  </si>
  <si>
    <t>Buscamos sumar a nuestro equipo de trabajo un REPUESTERO / VENDEDOR AUTOMOTOR CON EXPERIENCIA COMPROBABLESomos un post venta de reconocidas marcas líderes del mercado en constante expansión y buscamos el siguiente perfil: conocimiento EXCLUYENTE en mecánica y repuestos de autos, manejo básico o intermedio de paquete oficce, canales de venta online y computación en general.Buscamos una persona DINAMICA, Y CON AMBICION DE VENTAS. Que sepa trabajar en equipo y pueda manejar una excelente comunicación con las distintas áreas del taller, contribuyendo al excelente funcionamiento del mismo.Como empresa, trabajamos todos los días para darle al cliente una experiencia cálida y distinguida, buscamos un perfil que además de poseer las habilidades propias del puesto, cuente con marcada vocación de servicio y quiera sumarse a nuestro lema, que es, brindarle una experiencia de lujo al cliente en todo momento.Ofrecemos excelente clima laboral, comedor en planta, sueldo acorde al puesto, entre otros beneficios</t>
  </si>
  <si>
    <t>https://www.bumeran.com.ar/empleos/1118026700.html</t>
  </si>
  <si>
    <t>1118026729</t>
  </si>
  <si>
    <t>Responsable de Deposito</t>
  </si>
  <si>
    <t>Manpower</t>
  </si>
  <si>
    <t>¡Te estamos buscando!Importante empresa internaciónal dedicada a la fabricación y comercialización de colchones, estructuras de cama, almohadas y productos de bienestar busca incorporar un/a Encargado/a de Depósito para la apertura de su nuevo local y centro de distribución en Argentina . Responsabilidades principales: • Organización integral del depósito y del nuevo punto de venta. • Control de inventarios y manejo de stocks. • Ejecución de rutinas administrativas y financieras (cierres de caja, conciliaciones bancarias, pagos). • Gestión de facturación y documentación comercial. • Coordinación y liderazgo del equipo operativo. • Entrega de mercadería y coordinación con RRHH. • Comunicación directa con directivos en Paraguay y Brasil. • Viajes ocasionales al exterior (Paraguay/Brasil) para reuniones o capacitaciones. Requisitos: • Experiencia previa en puestos similares (depósito, administración o logística). • Conocimientos sólidos en inventarios, facturación y cierres administrativos. • Habilidad para liderar y motivar equipos. • Buenas capacidades de comunicación y autogestión. • Licencia de conducir vigente (auto). • Disponibilidad para viajar. • Perfil proactivo, autogestivo, con ganas de aprender, preguntar y asumir responsabilidades. Condiciones: • Horario: lunes a viernes de 8 a 18 hs (no se trabaja feriados). Ubicación: Capital Federal, Buenos Aires.</t>
  </si>
  <si>
    <t>https://www.bumeran.com.ar/empleos/1118026729.html</t>
  </si>
  <si>
    <t>1118027243</t>
  </si>
  <si>
    <t>Abogado/a - Impuestos</t>
  </si>
  <si>
    <t>LAWARD Recursos Humanos para Abogados</t>
  </si>
  <si>
    <t>30-10-2025</t>
  </si>
  <si>
    <t>LAWARD seleccionará un Abogado/a para el Departamento de Impuestos de Estudio Jurídico de primera línea.Requisitos: Profesional con hasta 4 años de experiencia en Derecho Tributario, con foco en litigios y asesoramiento, incluyendo sólida gestión de casos contencioso-tributarios, manejo de casos en sede administrativa y judicial, y planificación de estrategias; Inglés, dominio oral y escrito.Se valorará a quienes cuenten con Posgrados y/o Maestrías en Derecho Tributario.Se ofrece desarrollo y crecimiento profesional así como excelente paquete de beneficios.Modalidad: Híbrida. Zona: Retiro. CABALos interesados en aplicar a la búsqueda podrán postularse enviando sin omitir remuneración bruta pretendida y promedio académico</t>
  </si>
  <si>
    <t>https://www.bumeran.com.ar/empleos/1118027243.html</t>
  </si>
  <si>
    <t>1118027261</t>
  </si>
  <si>
    <t>Supervisor de Limpieza</t>
  </si>
  <si>
    <t>Ceta Capital Humano</t>
  </si>
  <si>
    <t>San Fernando, Buenos Aires</t>
  </si>
  <si>
    <t>En Ceta Capital Humano nos encontramos en la búsqueda de Supervisor de Limpieza para importante frigorífico de San Fernando Zona NorteResponsabilidades: Coordinar y supervisar las tareas diarias de limpieza Planificar cronograma de trabajo y limpiezas profundas Asignar tareas y controlar el desempeño del personal a cargo Llevar control de inventario de uso de insumos Capacitar al equipo en técnicas, protocolos y seguridadRequisitos: Experiencia de 2 años en posiciones similares Experiencia en manejo de personal y control de insumos Secundario Completo Dominio de paquete office</t>
  </si>
  <si>
    <t>https://www.bumeran.com.ar/empleos/1118027261.html</t>
  </si>
  <si>
    <t>1118027276</t>
  </si>
  <si>
    <t>Ejecutivo de Cuentas SSR/SR - Presencial</t>
  </si>
  <si>
    <t>StaffRock IT</t>
  </si>
  <si>
    <t>Munro, Buenos Aires</t>
  </si>
  <si>
    <t>En StaffRock IT, empresa especializada en servicios de Staff Augmentation y Búsqueda y Selección de profesionales de tecnología, nos encontramos en búsqueda de un Ejecutivo de Cuentas para sumarse al equipo de una empresa del rubro eléctrico industrial.Buscamos profesionales con perfil ejecutivo y orientación a resultados, con excelentes habilidades de comunicación y autonomía, capaces de gestionar y dar seguimiento a procesos comerciales con orden y estrategia, y de comprender las necesidades del cliente para diseñar soluciones a medida.¿Cuál será tu misión?Sumarte al equipo de nuestro cliente para captar y desarrollar cuentas industriales medianas y grandes, impulsando ventas técnicas consultivas de productos y servicios críticos de energía (UPS, baterías, estabilizadores, rectificadores, grupos electrógenos) y obras eléctricas industriales y de puesta a tierra. El rol combina prospección activa (hunter) con seguimiento y expansión de cuentas (farmer), dentro de una gestión comercial estructurada con CRM (Táctica Soft).Tareas y Responsabilidades Prospección activa de clientes industriales en sectores como industria pesada, manufactura, salud, energía, laboratorios, etc. Generación de oportunidades de venta para productos y servicios técnicos. Seguimiento del pipeline comercial y actualización del CRM (Táctica Soft). Armado y presentación de propuestas técnico-comerciales. Coordinación con áreas técnicas para armado de soluciones a medida. Cumplimiento de objetivos mensuales de prospección, cotización y cierre. Mantenimiento y desarrollo de relaciones de largo plazo con cuentas claves.¿Qué skills y experiencia buscamos? Más de 3 años de experiencia comercial comprobable en venta técnica B2B Experiencia en industrias y conocimiento de sus dinámicas de compra. Perfil hunter, con energía y autonomía para salir a buscar negocio. Buen manejo de CRM (ideal si usó Táctica Soft o similar). Capacidad de redacción técnica y presentación a clientes. Conocimientos básicos de sistemas eléctricos, energía y obras eléctricas y de PAT Formación técnica (electromecánica, electrónica, electricidad, etc.). Se valorará contar con experiencia en empresas de servicios técnicos o en instalaciones/obras eléctricas, así como experiencia en la gestión de negocios a largo plazo. Nivel de inglés técnico (deseable). Preferentemente residir en zona norte (GBA) o acceso fácil a Munro.¿Qué ofrecemos? Contratación bajo Relación de Dependencia. Modalidad Full-Time y Presencial en Munro (Provincia de Buenos Aires). Excelente clima de trabajo.</t>
  </si>
  <si>
    <t>https://www.bumeran.com.ar/empleos/1118027276.html</t>
  </si>
  <si>
    <t>1118027662</t>
  </si>
  <si>
    <t>Farmacéutico/a para farmacias en Rio Cuarto</t>
  </si>
  <si>
    <t>Farmacity</t>
  </si>
  <si>
    <t>Río Cuarto, Córdoba</t>
  </si>
  <si>
    <t>Somos Farmacity un ecosistema de negocios compuesto por nuestra red de farmacias, Simplicity, Get The Look y The Food MarketDedicado a generar oportunidades y experiencias de bienestar que mejoran la vida de las personas a través de la salud, la belleza y la alimentación saludable.En Farmacity, valoramos la actitud protagonista de nuestros/as colaboradores/as, quienes son los verdaderos motores de nuestra organización, creando una cultura donde el bienestar, la inclusión y el crecimiento personal sean pilares fundamentales. Te invitamos a ser parte de nuestro equipo, donde podrás aplicar tus habilidades mientras aprendes y te desarrollas en un entorno laboral diverso, inclusivo y respetuoso.Estamos en búsqueda de farmacéuticos/as en Rio Cuarto que compartan nuestra visión de una atención sanitaria innovadora, dedicados y que deseen marcar la diferencia en la vida de nuestros pacientes.Si la vocación de servicio te apasiona en la farmacia, ¡esta es TU oportunidad para hacer lo que más te gusta y disfrutar cada día!🔎 ¿A quiénes buscamos? A personas que sientan la vocación de servicio con el otro. Profesionales comprometidos con la excelencia y el cuidado del paciente. A quienes siendo tal cual son, saben respetar las diferencias.📝¿Qué te proponemos? La posibilidad de unirte a una empresa que pone en el centro a sus colaboradores. No solo cuidamos la salud, sino también el bienestar de quienes forman parte de nuestro equipo, mientras seguimos creciendo y mejorando continuamente como compañía.¿Qué valoramos? Valoramos la habilidad para liderar y la capacidad de generar ideas innovadoras para estructurar equipos Dispensa de medicamentos. Control y orden de stock. Participación como agente de salud en campañas de vacunación y/o acciones destinadas a promover la salud. Garantizar la correcta trazabilidad de los medicamentos y la actualización de los libros.💡¿Qué te pediriamos? Matricula habilitada para ejercicio profesional Bloqueo de tituloLo mejor para el final: priorizamos TU Bienestar⚕️ Medicina prepaga (Swiss Medical) para vos y tu grupo familiar🙌 Pago de matrícula, colegiatura y seguro de mala praxis a cargo de la compañía🎈 Día de cumpleaños libre💌 Descuentos en nuestras sucursales y compra online de Farmacity, Get The Look, Simplicity y The Food Market📌 Descuentos corporativos en gimnasios, cines, teatros, viajes, restaurantes, spas y otros rubros.¡Postulate y empezá a vivir la #ExperienciaFarmacity! 🚀 #TuMejorVersión #DesafiateConNosotros #ExperienciaFarmacity #vocacióndeservicio#Farmaceuticos</t>
  </si>
  <si>
    <t>https://www.bumeran.com.ar/empleos/1118027662.html</t>
  </si>
  <si>
    <t>1118027834</t>
  </si>
  <si>
    <t>Vendedora Digital / Atención al Cliente</t>
  </si>
  <si>
    <t>metalúrgica</t>
  </si>
  <si>
    <t>Lomas de Zamora, Buenos Aires</t>
  </si>
  <si>
    <t>Vendedora Digital / Atención al Cliente OnlineResumen del PuestoEstamos buscando una Vendedora Digital / Atención al Cliente Online con un fuerte enfoque en ventas y servicio al cliente para unirse a nuestro equipo. El candidato ideal será responsable de brindar asesoramiento, seguimiento y gestión de pedidos a través de canales digitales.Responsabilidades Asesorar y atender consultas de clientes a través de medios digitales (WhatsApp, correo electrónico, redes sociales, CRM). Realizar seguimiento de presupuestos, cotizaciones y pedidos. Cargar y actualizar información en el sistema. Coordinar internamente con las áreas de logística y administración para asegurar la correcta entrega de productos. Horario de Lun a Vier de 8: 0 0 a 1 8: 0 0 Sab de 8: 0 0 a 1 3: 0 0Requisitos Experiencia en atención al cliente o ventas digitales. Manejo de herramientas informáticas. Conocimientos en sistemas CRM (deseable). Habilidades de comunicación y negociación. Orientación al cliente y capacidad de resolución de problemas. Residir en Lanus o Lomas de Zamora.</t>
  </si>
  <si>
    <t>https://www.bumeran.com.ar/empleos/1118027834.html</t>
  </si>
  <si>
    <t>1118027941</t>
  </si>
  <si>
    <t>Dibujante Tecnico</t>
  </si>
  <si>
    <t>Bombas y Sistemas Industriales</t>
  </si>
  <si>
    <t>Lomas del Mirador, Buenos Aires</t>
  </si>
  <si>
    <t>Empresa metalúrgica dedicada a la fabricación de repuestos, reparación y fabricación de bombas, incorpora Dibujante Técnico.Se requiere perfil Técnico con dominio de AutoCAD o herramientas de diseño similar para desempeñarse en el sector de diseño y desarrollo. Su principal responsabilidad será la realización de planos de piezas propias y el relevamiento de piezas varias y la realización de los planos correspondientes.Requisitos:Estudios: Secundario completo - Titulo Técnico Mecánico o Electromecánico.Estudiante de los primeros años de Ingeniería ( no excluyente )Conocimientos de Autocad, Solidworks 2D y 3D.Horario de trabajo: Lunes a Viernes de 8 a 16hsRemuneración pretendida.</t>
  </si>
  <si>
    <t>https://www.bumeran.com.ar/empleos/1118027941.html</t>
  </si>
  <si>
    <t>1118028027</t>
  </si>
  <si>
    <t>OPERADOR DE AUTOELEVADORES</t>
  </si>
  <si>
    <t>Asoko Tempo SA</t>
  </si>
  <si>
    <t>Villa Luzuriaga, Buenos Aires</t>
  </si>
  <si>
    <t>Importante Logistica busca ingresar un operador de autoelevadores con carnet habilitante para nuestra sede ubicada en Villa Luzuriaga.El ingreso es totalmente inmediato e ingresará por convenio colectivo de camioneros, categoria operador de autoelevadores.EXCLUYENTE: - Poseer carnet habilitante de conductor de autoelevadores.- ANALITICO DEL SECUNDARIO.- ANTECEDENTE PENALES ACTUALIZADOS.Turno de trabajo: TURNO TARDE (13 A 22HS) de Lunes a Viernes!Aguardamos sus postulaciones!</t>
  </si>
  <si>
    <t>https://www.bumeran.com.ar/empleos/1118028027.html</t>
  </si>
  <si>
    <t>1118028038</t>
  </si>
  <si>
    <t>Ejecutiva/o Comercial de Cuentas - GBA Norte</t>
  </si>
  <si>
    <t>GRUPO MASCHWITZ Hn</t>
  </si>
  <si>
    <t>San Isidro, Buenos Aires</t>
  </si>
  <si>
    <t>Ejecutiva/o Comercial de Cuentas - GBA Norte.La organización que nos encomienda esta búsqueda tiene presencia en todos los segmentos del mercado de soluciones gráficas y documentales, abarcando desde equipos de oficina de bajo/medio/alto volumen, equipos de impresión digital, grandes formatos, impresión de packaging y en diversos tipos de papel, software, etc., brindando soporte integral en lo referido a Servicio Técnico, con provisión de insumos, partes y repuestos en modalidades de venta y alquiler.El proyecto que encara en la actualidad se enfoca en el desarrollo del segmento corporativo en directa y para su red de Distribuidores a nivel nacional, buscando ampliar la presencia de sus marcas en las cuentas actuales, y creciendo en el mercado general a través de una focalizada e intensa actividad de relevamiento que permita diagnosticar y proponer soluciones racionales que generen beneficios a los clientes y permitan desplazar a la competencia. Para este fin buscamos personas con decidida vocación y formación profesional en lo comercial, orientada al trabajo relacional en las cuentas que permita contar con información clave para la preparación de propuestas competitivas.Requisitos de la posición Modalidad presencial de Lunes a Viernes. Disponibilidad para visitas a las cuentas. Trabajo por objetivos mensuales/trimestrales/anuales por línea y segmento de mercado. Capacidad de planificación del territorio asignado. Movilidad propia (no excluyente en CABA, excluyente en AMBA y Provincias). Licencia de conducir tipo B1/B2 al día. Conocimiento del mercado de equipos de oficina y gráficos, gran formato (no excluyente). Conocimiento del mercado de papel obra, coated, adhesivos, textil, etiquetas. Capacidad para orientar estrategias comerciales a los diferentes segmentos objetivo de clientes. Conocimiento de MS Office y uso de software ERP (Tango o equivalente) para carga de informes. Remuneración fija + variable en función de objetivos (comisiones) + premios + viáticos contra comprobantes.Requisitos de la persona. Estudios secundarios completos (deseables universitarios o tecnicaturas en áreas comerciales /marketing, o bien estudios de base técnica con experiencia en el trato con clientes). Experiencia comercial atendiendo cuentas en modalidad BTB de bienes o servicios. Orientación a la venta profesional en modalidad consultiva/relacional para desarrollo de cuentas en ciclo de compra. Capacidad analítica de relevamiento en cada cuenta y detección de oportunidades. Capacidad de Organización y planificación presentando informes a la Gerencia. Actitud claramente orientada a resultados. Capacidad de resiliencia y esfuerzo constante por superarse, superando obstáculos. Residencia en zonas Capital Federal o GBA Norte.La posición busca lograr objetivos cualitativos y cuantitativos a ser definidos según cada territorio en función del potencial, con acompañamiento durante los primeros meses de inducción en la parte de remuneración variable.La presente búsqueda es una oportunidad muy interesante de desarrollo profesional para quienes acepten el desafío, en un momento de expansión del negocio. Enviar CV a la dirección grupomaschwitz at gmail.com sin omitir remuneración deseada.</t>
  </si>
  <si>
    <t>https://www.bumeran.com.ar/empleos/1118028038.html</t>
  </si>
  <si>
    <t>1118028201</t>
  </si>
  <si>
    <t>671SI Operarios ind. ALIMENTICIA c/ Tit. secundario - pres 31/10 de 10 a 1130 NUEVA Suc. SAN ISIDRO</t>
  </si>
  <si>
    <t>CONA CONSULTORES EN RRHH</t>
  </si>
  <si>
    <t>Tortuguitas, Buenos Aires</t>
  </si>
  <si>
    <t>CONA Consultores se encuentra en la búsqueda de OPERARIOS DE PRODUCCIÓN ALIMENTICIA con experiencia en tareas de manipulación de alimentos y producción continua. conocimiento de BPM.Importante industria ubicada en tortuguitas. DEBERÁ CONTAR CON SECUNDARIO COMPLETO Y CERTIFICADO DE ANTECEDENTES PENALES.Deberá presentarse VIERNES 31/10 de 10:00 a 11:30hs. NUEVA SUCURSAL SAN ISIDRO :EDIFICIO PANECO GOLF - LAPRIDA 3278 BLANCO OFICINA 42 - SAN ISIDROAsistir con la siguiente documentación:CV EN MANO ACTUALIZADOTITULO SECUNDARIO ORIGINAL + COPIAResidir en la zona TORTUGUITASA/ GARIN / Presentar certificado de buena conducta/ Contar con disponibilidad para turnos ROTATIVOS – (Mañana / Tarde / Noche) DISPONIBILIDAD PARA REALIZAR HS EXTRAS.Experiencia mínima de 1 año en posiciones similares.CERTIFICADO DE ANTECEDENTES PENALESResponsabilidades del puesto:Fraccionamiento y envasado de productos alimenticios.Empaque de los mismos, llenado, cierre y precintado de envases , conocimiento packaging termocontraible.Etiquetado y control de calidad de los productos envasados.cumplir con los objetivos de producción y BPMPreparación de pedidos.Mantenimiento del orden y limpieza del área de trabajo.Cumplimiento de normas de higiene y seguridad alimentaria.recepción de mercadería y materia prima.Se ofrece:Se ofrece :Trabajo full timeTM : lunes viernes de 6 a 14hs y Sab de 6 a 13hs..TT: de lunes a viernes de 13 aa 22hsPago quincenal según convenio alimentos CCT 244/94.buen clima laboral y equipo colaborativo.Ingreso eventual inmediato con posibilidad de efectivizaciónZona TORTUGUITAS¡Postula y sumate a esta gran oportunidad en la industria alimenticia.CUIDATE DE LOS AVISOS LABORALES FALSOS –En CONA siempre te postularas por plataformas de empleo directas y mails corporativos NO A PERSONAS INDIVIDUALES, nunca te pediremos que envíes fotos del DNI ni documentación personal.El empleador solo podrá solicitarle la información estrictamente necesaria para el desempeño en el trabajo que se ofrece. Ley 6471-21 GCBA</t>
  </si>
  <si>
    <t>https://www.bumeran.com.ar/empleos/1118028201.html</t>
  </si>
  <si>
    <t>1118028376</t>
  </si>
  <si>
    <t>Analista administrativo/a</t>
  </si>
  <si>
    <t>Randstad Argentina</t>
  </si>
  <si>
    <t>¡Esta propuesta te puede interesar! Para importante empresa Multinacional ubicada en Nuñez, CABA, estamos en la búsqueda de un/a Analista administrativo/a. Serán sus principales tareas: Analizar y controlar los costos operativos de importación/exportación. Realizar tareas administrativas, contables, financieras de las actividades comercio internacional. Creación de ordenes de compra, solicitud de pedidos, control y seguimiento de gastos de las operaciones de comercio exterior Colaborar con equipos interdisciplinarios para optimizar la eficiencia de las operaciones comerciales (Finanzas, Contabilidad, Impuestos) Serán requisitos: Ser estudiante universitario de carreras como Administración de Empresas, Finanzas, Contador público o carreras afines. Habilidades analíticas y capacidad para interpretar datos complejos Buenas habilidades de comunicación e interpersonales Atención al detalle, precisión y enfoque en la exactitud Dominio de paquete MS Office (Principalmente Excel) Preferentemente con conocimiento del idioma Portugües. Se ofrece: Trabajo Híbrido (3 home office y 2 presencial) Medicina Prepaga Osde 210 Reintegro de gastos de conectividad Reintegro de gastos por refrigerio Capacitación continua y la oportunidad de incorporarse en una empresa muy destacada a nivel internacional Se valorarán perfiles: Con actitud proactiva y dinamismo Con buena comunicación y trabajo en equipo Con capacidad de análisis, Planificación y Organización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</si>
  <si>
    <t>https://www.bumeran.com.ar/empleos/1118028376.html</t>
  </si>
  <si>
    <t>1118028657</t>
  </si>
  <si>
    <t>Recepcionista zona CABA (Eventual)</t>
  </si>
  <si>
    <t>Grupo Gestión</t>
  </si>
  <si>
    <t>31-10-2025</t>
  </si>
  <si>
    <t>Importante empresa se encuentra en la búsqueda de un/a recepcionista eventual.Responsabilidades del puesto: Atención personalizada a clientes y proveedores de manera presencial; telefónica o virtual Manejo de documentación Tareas administrativasHorario: lunes a viernes de 08 a 17hsZona de trabajo: Puerto MaderoSe trata de una propuesta eventual.¡Esperamos tu postulación!</t>
  </si>
  <si>
    <t>https://www.bumeran.com.ar/empleos/1118028657.html</t>
  </si>
  <si>
    <t>1118028681</t>
  </si>
  <si>
    <t>ADMINISTRATIVA/O</t>
  </si>
  <si>
    <t>OTIUM CONSULTORES</t>
  </si>
  <si>
    <t>Canning, Buenos Aires</t>
  </si>
  <si>
    <t>Nos encontramos en la búsqueda de un ADMINISTRATIVO/A para un importante mercado boutique de alimentos y bebidas ubicado en la localidad de Canning, Partido de Ezeiza, Provincia de Buenos Aires. Como Administrativo/a serás responsable del ingreso de mercadería al sistema, actualizar costos y precios de venta de los productos en el sistema, actualizar los precios de los productos en diferentes plataformas e-commerce, pago a proveedores, generar pedidos a proveedores, liquidación de sueldos, entre otros.Buscamos a alguien con experiencia mínima de 5 años o más en puestos similares, que cuente con un perfil organizado y resolutivo bien marcado, habilidades para identificar oportunidades de mejora, capacidad para trabajar en equipo y adaptabilidad para enfrentar desafíos en un entorno dinámico. Se valorarán perfiles afines a las relaciones interpersonales y que cuenten con una excelente comunicación. Si te considerás la persona indicada para el puesto, ¡ésta es tu oportunidad de unirte al equipo! Requisitos: Género: Indistinto. Experiencia comprobable mínima de 5 años o más en puestos similares (EXCLUYENTE) Excelente manejo de Pc, nivel avanzado en Paquete Office y WhatsApp. Disponibilidad full time. Modalidad 100% presencial. Movilidad propia (PREFERENTEMENTE) Residir en Canning o zonas aledañas (PREFERENTEMENTE) Beneficios Se ofrecen excelentes condiciones de contratación en una empresa en crecimiento permanente.</t>
  </si>
  <si>
    <t>https://www.bumeran.com.ar/empleos/1118028681.html</t>
  </si>
  <si>
    <t>1118028828</t>
  </si>
  <si>
    <t>Búsqueda Laboral: Modelista – Vicente López (Florida Oeste)</t>
  </si>
  <si>
    <t>Confidencial</t>
  </si>
  <si>
    <t>Vicente López, Buenos Aires</t>
  </si>
  <si>
    <t>Buscamos una profesional con sólida experiencia en desarrollo de moldería y gran atención al detalle, que disfrute trabajar en equipo y aportar a la creación de nuestras colecciones. ✂️ Principales responsabilidades Desarrollar moldería según la definición del diseño, optimizando tiempos y recursos. Participar en las pruebas de calce junto al equipo de Producto, realizando los ajustes necesarios. Desarrollar progresiones de la moldería aprobada. Especificar avíos (entretelas, hilos, hombreras, etc.) según género y prototipo. Realizar pruebas de comportamiento de géneros y registrar resultados. Entregar progresiones, prototipos, tablas de medidas y fichas técnicas a Producción en tiempo y forma. Colaborar en el armado del muestrario para el área Comercial. 🎯 Objetivo de la posición Desarrollar la moldería, prototipo y muestras de los productos de nuestras colecciones, garantizando calidad, precisión y cumplimiento de tiempos. 🧵 Requisitos Formación: Modelista. Sistema de moldería: Lectra (preferente). Conocimientos: Office básico, administración y gestión de fichas técnicas. Habilidades en corte, confección y sastrería (nivel avanzado). Experiencia mínima de 5 años en puestos similares. Residencia en AMBA, preferentemente cercana a Vicente López. Disponibilidad para trabajar presencialmente de lunes a viernes de 7 a 16 hs (Florida Oeste).</t>
  </si>
  <si>
    <t>https://www.bumeran.com.ar/empleos/1118028828.html</t>
  </si>
  <si>
    <t>1118028833</t>
  </si>
  <si>
    <t>Asesor Comercial Plan de Ahorro - Volkswagen</t>
  </si>
  <si>
    <t>CAR ONE</t>
  </si>
  <si>
    <t>TODO LO QUE TE MUEVE EN UN MISMO LUGARPrimer Mega Dealer Automotriz de la Argentina. Creamos el concepto de auto Usado Garantizado en el país. 7 concesionarios -5 propios- de automóviles 0 km en el mismo predio.Somos un lugar, un punto geográfico donde encontrarás tu movilidad y todo para asisitir tu movilidad.Contamos con servicio de venta de auto usados garantizados, autos 0km, servicio de posventa, repuestos originales, accesorios, seguros, un banco, escribanía propia y Telepase para autopistas.Te brindamos Movilidad, Asistencia mecánica, Servicios al cliente, Servicios financieros .Iniciativa, Orientación al resultado, Excelencia en lo que hacemos, Orientación al cliente y Trabajo en equipo son los valores que compartimos y fomentamos. ¡Si te entusiasma la venta, y entre tus objetivos se halla la satisfacción del Cliente, te estamos buscando! Entre las responsabilidades del asesor se encuentran la optimización de los datos que se brindan para la concreción de la venta, la detección de oportunidades de nuevos negocios y el cumplimiento de objetivos comerciales.Valoramos experiencia en la venta de planes de ahorro y venta telefónica de productos intangibles. Nuestra búsqueda se orienta a personas proactivas, con marcado perfil comercial, aptitud para la negociación, buena presencia y dicción. Es importante contar con disponibilidad horaria.Encontrarás una organización en constante crecimiento con muy buen clima laboral e interesantes incentivos. Requisitos: Edad minima: 20Edad Maxima: 40Secundario completo Beneficios ️‍️ Descuento en Sport Club 50% en todos los talleres15% en Repuestos12 cuotas S/Interés Bridgestone/Firestone 30% Seguros de la Caja15% Planes Adjudicados30% Off Malcriado (Shopping Tom)Descuentos en SamsungDescuentos en Bimbo</t>
  </si>
  <si>
    <t>https://www.bumeran.com.ar/empleos/1118028833.html</t>
  </si>
  <si>
    <t>1118028887</t>
  </si>
  <si>
    <t>Account Executive (Hunter)</t>
  </si>
  <si>
    <t>Consultora D'Amelio</t>
  </si>
  <si>
    <t>Cuenta Demo de Hiring Room, el software de reclutamiento y selección para profesionales hiperconectados.https://hiringroom.com/ Prueba demo Descripción del puesto: Account Executive (Hunter)Estamos en la búsqueda de un Account Executive (Hunter) para unirse a nuestro equipo en la ubicación de Capital Federal, Capital Federal, Argentina. Enfocado en el área de Comercial, Ventas y Negocios, este puesto de jerarquía Junior tiene como principal función la prospección y captación de nuevos clientes.El candidato ideal deberá contar con una mentalidad orientada a resultados y habilidades de negociación para lograr cierres exitosos. Además, será responsable de identificar oportunidades de negocio, elaborar propuestas comerciales y mantener una constante comunicación con los clientes.Buscamos a alguien en proceso de educación Universitaria, que cuente con una actitud proactiva y ganas de aprender. La modalidad de trabajo es Híbrida, combinando la presencialidad en la oficina con la flexibilidad del trabajo remoto, en un entorno dinámico y colaborativo.Si te consideras una persona ambiciosa, con habilidades interpersonales desarrolladas y una pasión por las ventas, ¡te estamos buscando! Únete a nuestro equipo y sé parte de un ambiente de trabajo desafiante y en constante crecimiento. Requisitos:</t>
  </si>
  <si>
    <t>https://www.bumeran.com.ar/empleos/1118028887.html</t>
  </si>
  <si>
    <t>1118028891</t>
  </si>
  <si>
    <t>auxiliar contable</t>
  </si>
  <si>
    <t>External Market</t>
  </si>
  <si>
    <t>External Market SRL se encuentra en la búsqueda de un Administrativo Contable para sus oficinas de Munro. La búsqueda está orientada a estudiantes avanzados o graduados de carreras de Contador, Economía, proactivos, con iniciativa y un gran nivel de compromiso y responsabilidad.Serán algunas de sus responsabilidades: Gestión integral de caja diaria y fondos fijos Administración de cobranzas, pagos y depósitos bancarios Control y registro de facturas, proveedores y padrones Análisis de cuentas contables para cierres y balances Emisión de pagos, notas de débito y planillas de descuentos Conciliaciones bancarias Manejo de cheques (depósito, rechazos, devoluciones)Requisitos: Licenciatura en Contabilidad o un campo de estudio relacionado (no excluyente) 1- 2 años de experiencia trabajando en Contabilidad Fuertes habilidades de comunicación escrita y verbal Altamente orientado a los detallesOfrecemos: Jornada laboral: Lunes a viernes de 8: 3 0 a 1 7: 3 0hs. Semi presencial. Celular. Bono anual por objetivos.Te esperamos!</t>
  </si>
  <si>
    <t>https://www.bumeran.com.ar/empleos/1118028891.html</t>
  </si>
  <si>
    <t>2162667</t>
  </si>
  <si>
    <t>Gerente de Operaciones - Gastronomía corporativa y Facility management</t>
  </si>
  <si>
    <t>Estudio Sánchez Salas &amp; Asociados</t>
  </si>
  <si>
    <t>Neuquén, Neuquén</t>
  </si>
  <si>
    <t>05-09-2025</t>
  </si>
  <si>
    <t>zonajobs</t>
  </si>
  <si>
    <t>Seleccionaremos Gerente de Operaciones con capacidad de liderazgo estratégico para dirigir, planificar y optimizar la gestión operativa de todas nuestras áreas de servicio, asegurando excelencia, innovación y sustentabilidad en cada proyecto.Responsabilidades principales:- Definir, implementar y supervisar estrategias operativas alineadas con los objetivos de la compañía.- Dirigir equipos de coordinadores/as y supervisores/as, garantizando eficiencia, seguridad y motivación del personal.- Asegurar el cumplimiento de normas de calidad, higiene y seguridad en todas las operaciones.- Monitorear indicadores clave (KPIs) de desempeño y liderar planes de mejora continua.- Gestionar presupuestos operativos y recursos con foco en rentabilidad y sostenibilidad.- Mantener relaciones cercanas con clientes corporativos, promoviendo la satisfacción y fidelización.- Impulsar proyectos innovadores en sustentabilidad y experiencia colaboradora.Requisitos deseables:- Formación en Administración, Ingeniería Industrial, Logística, Hotelería o afines. (Deseable)- Experiencia mínima de 5 años en posiciones de liderazgo operativo, preferentemente en empresas de servicios, facility o gastronomía corporativa.- Sólidas habilidades de liderazgo, planificación estratégica y toma de decisiones.- Conocimientos en normas de calidad, seguridad y gestión de procesos.- Alta orientación a resultados y capacidad de innovación.Ofrecemos:- Oportunidad de liderar la operación de una empresa en plena expansión. Y con presencia en todo el país.- Entorno de trabajo colaborativo, con fuerte cultura en sustentabilidad e innovación.- Condiciones salariales competitivas, beneficios corporativos y proyección de carrera.</t>
  </si>
  <si>
    <t>https://www.bumeran.com.ar/empleos/2162667.html</t>
  </si>
  <si>
    <t>1118022146</t>
  </si>
  <si>
    <t>Community manager</t>
  </si>
  <si>
    <t>Tigre, Buenos Aires</t>
  </si>
  <si>
    <t>27-10-2025</t>
  </si>
  <si>
    <t>Empresa líder en el rubro de la comercialización e importación de materiales para la Construcción y Decoración, se encuentra en la búsqueda de un/a Brand &amp; Community Manager para el manejo integral de su imagen, comercio electrónico y posicionamiento en redes. Estamos ubicados en Rincón de Milberg – Tigre.🎯 Resumen del puestoBuscamos un perfil estratégico, autónomo y ejecutor.La persona seleccionada tendrá la misión de construir y expandir las marcas del grupo fuera de Mercado Libre, creando comunidad, gestionando contenido innovador y articulando estrategias de marketing digital y offline.Será responsable de transmitir el valor de los productos, generar recordación de marca y conectar con clientes actuales y potenciales a través de experiencias memorables.📌 Responsabilidades Desarrollar e implementar iniciativas de marketing y branding que construyan posicionamiento y valor de marca. Crear contenido para Instagram, Facebook y LinkedIn (producción, filmación, edición y redacción de copy). Responder mensajes, comentarios y consultas en redes sociales. Armar y mantener actualizado el calendario de contenidos y fechas clave del rubro. Administrar campañas en Meta Ads y Google Ads, y trabajar con herramientas de SEO Cargar y actualizar productos en TiendaNube u otras plataformas. Implementar y usar un CRM (HubSpot o similar) para gestionar contactos y clientes. Coordinar acciones con influencers, creadores de contenido y proveedores externos. Monitorear métricas de rendimiento, generar reportes y proponer acciones de mejora continua para optimizar resultados ✅ Expectativas en los primeros 90 días Dominar el portafolio de productos y los procesos internos de la compañía. Implementar un calendario de contenidos y acciones de comunidad. Implementar mínimo 3 acciones que busquen cambiar el perfil de los consumidores únicos a recurrentes. Lanzar las primeras campañas de posicionamiento de marca fuera de Mercado Libre. Establecer un sistema de CRM activo para la gestión de clientes y prospectos.🧩 Requisitos Experiencia en marketing de marca, community management o branding, preferentemente en rubros dinámicos (decoración, textil, consumo masivo, retail, e-commerce). Experiencia comprobada en fotografía y video: producción, filmación y edición. Dominio de herramientas de edición: CapCut, Premiere, Canva, Photoshop / Illustrator o similares. Conocimientos de SEO, SEM, Google Ads y Meta Ads. Experiencia en carga y gestión de productos online (TiendaNube, Mercado Libre, Shopify u otros). Manejo de CRM (HubSpot u otro integrable). Capacidad para hablar en cámara o dirigir a influencers en la creación de contenido. Manejo avanzado de herramientas de inteligencia artificial para marketing y generación de contenido. Estudios en Marketing, Comunicación, Publicidad, Branding o afines.🌱 Cultura y valores organizacionales Se valora a las personas que combinan: Creatividad con ejecución concreta. Atención al detalle y profesionalismo. Proactividad y dedicación. Capacidad para aportar valor real al negocio. Buscan aprender todos los días.💎 Beneficios y condiciones Remuneración competitiva según perfil y experiencia. Jornada partime: De 8 a 1.00pm ó de 1.30 a 5.30pm de lunes a viernes Oportunidad de crecer en una empresa con proyección regional. Participación directa en la construcción y posicionamiento de una marca propia. Entorno dinámico y con espacio para la innovación.</t>
  </si>
  <si>
    <t>https://www.bumeran.com.ar/empleos/1118022146.html</t>
  </si>
  <si>
    <t>1118025212</t>
  </si>
  <si>
    <t>Representante Técnico/a Comercial</t>
  </si>
  <si>
    <t>Gestion A</t>
  </si>
  <si>
    <t>Buchardo, Córdoba</t>
  </si>
  <si>
    <t>28-10-2025</t>
  </si>
  <si>
    <t>Representante Técnico/a ComercialResumen del PuestoNos encontramos en la búsqueda de un/a Representante Técnico/a Comercial. El rol tendrá como función la comercialización de agro insumos y servicios para el agro.ResponsabilidadesComercialización de agro insumos y servicios.Asesoramiento técnico a clientes.Desarrollo de nuevas oportunidades de negocio.RequisitosIng. Agrónomo/a o carreras afines.Fuerte vocación comercial.Orientación a resultados.Capacidad resolutiva frente a situaciones desafiantes.Experiencia en ventas (preferentemente).</t>
  </si>
  <si>
    <t>https://www.bumeran.com.ar/empleos/1118025212.html</t>
  </si>
  <si>
    <t>1117984105</t>
  </si>
  <si>
    <t>Venado Tuerto -Gerente de Ventas importante Concesionario Oficial Maquinaria Agr{icola</t>
  </si>
  <si>
    <t>Venado Tuerto, Santa Fe</t>
  </si>
  <si>
    <t>26-09-2025</t>
  </si>
  <si>
    <t>Importante Concesionario Oficial Maquinaria Agrícola en Venado Tuerto (Santa Fé)SELECCIONARÁGERENTE DE VENTASBuscamos un profesional con experiencia comprobable en el rubro de maquinaria agrícola, marcada disposición para liderar en equipo, proactivo y responsable. Debe estar fuertemente orientado a resultados a través del logro de objetivos específicos en lo comercial.Requisitos:* Edad entre 35 y 50 años.* Experiencia no inferior a 2 años en el rubro y 1 año en la posición* Estudios Terciarios- Universitarios afines* Amplia Disponibilidad Horaria (excluyente)* Radicación en Venado Tuerto (Sta. Fé) (EXCLUYENTE)Se ofrece:- Buen ambiente y condiciones de trabajo, dentro de una Marca de prestigio internacional.- Remuneración acorde a las responsabilidades.- Continuidad y estabilidad laboral.Interesados enviar currículum vitae sin omitir foto, referencias ni remuneración pretendida</t>
  </si>
  <si>
    <t>https://www.bumeran.com.ar/empleos/1117984105.html</t>
  </si>
  <si>
    <t>1117960588</t>
  </si>
  <si>
    <t>Asistente de Dirección / Administrativo con experiencia en Publicidad y Medios</t>
  </si>
  <si>
    <t>09-09-2025</t>
  </si>
  <si>
    <t>Descripción del puesto: Nos encontramos en la búsqueda de un/a profesional proactivo/a para incorporarse a nuestro equipo en el área de Administración, con funciones mixtas de asistencia a la Dirección. Buscamos una persona dinámica, con excelentes habilidades organizativas y de comunicación, que combine la gestión administrativa con la coordinación de tareas vinculadas a publicidad y medios.Principales responsabilidades: Tareas administrativas generales (gestión de documentación, agenda, reportes, seguimiento de pagos y cobros). Asistencia directa a la Dirección (organización de reuniones, coordinación de agendas, redacción de informes). Atención telefónica y presencial de clientes y proveedores. Coordinación de llamados, correos y comunicaciones institucionales. Apoyo en campañas publicitarias, con foco en medios (planificación, coordinación con proveedores, seguimiento de resultados).Requisitos: Experiencia previa mínima de 2 años en puestos administrativos, planificacion de medios y de asistencia a la Dirección. Experiencia comprobable en el rubro publicidad / medios. Excelentes habilidades de comunicación y atención al cliente. Buen manejo de herramientas informáticas (Office, planillas, excel avanzado). Perfil proactivo, organizado y orientado a resultados.Ofrecemos: Incorporación a una empresa en crecimiento vinculada al sector de la publicidad y medios. Excelente clima de trabajo y posibilidades de desarrollo. Modalidad: Mixta (presencial y remota). Jornada laboral: de 9 - 18 hs. Remuneración: “a convenir”</t>
  </si>
  <si>
    <t>https://www.bumeran.com.ar/empleos/1117960588.html</t>
  </si>
  <si>
    <t>1118009739</t>
  </si>
  <si>
    <t>Administrativa Comercio Exterior (req199380) Eventual</t>
  </si>
  <si>
    <t>16-10-2025</t>
  </si>
  <si>
    <t>Estamos seleccionando un Administrativo para area de Comex para importante empresa de accesorios de moda (EVENTUAL) Posición : Administrativo para área de ComexUbicación: CABADuración: 3 meses Jornada full timeModalidad hibrida: 2 días home 3 presencial, Viernes hasta las 15hs (flex)Cobertura médica correspondiente a convenio ¡Las instalaciones cuentan con espacio de comedor! Principales responsabilidades: Gestión y carga de Facturación de Clientes (FC) Coordinación y ejecución del cierre de ciclos de pago Enfoque en la visión integral del negocio, priorizando el pensamiento estratégico por sobre el analítico Requisitos: Estudiante de Comercio internacional - Comercio Exterior o afines (deseable) Experiencia mínima en roles similares (deseable) 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 En ManpowerGroup promovemos una cultura inclusiva y diversa basada en el respeto y en la igualdad de oportunidades. [Ley 6471/2021 - Búsqueda laboral equitativa: El empleador sólo podrá solicitarle la información estrictamente necesaria para el desempeño en el trabajo que se ofrece.]</t>
  </si>
  <si>
    <t>https://www.bumeran.com.ar/empleos/1118009739.html</t>
  </si>
  <si>
    <t>1118000814</t>
  </si>
  <si>
    <t>Asistente Administrativo de Ventas</t>
  </si>
  <si>
    <t>Importante Empresa de Calzado e Indumentaria</t>
  </si>
  <si>
    <t>13-10-2025</t>
  </si>
  <si>
    <t>Propósito del puesto:Brindar soporte administrativo y operativo al área de ventas, asegurando la correcta gestión de pedidos, seguimiento de clientes, control de stock, reportes comerciales. Su principal objetivo es garantizar la eficiencia en los procesos administrativos del área y la disponibilidad de información precisa para la toma de decisiones.Responsabilidades principales Cargar y actualizar pedidos de venta en el sistema interno. Elaborar reportes de ventas, márgenes, rotación y desempeño por producto o vendedor mediante Excel avanzado. Controlar y coordinar entregas con el área de logística. Mantener actualizada la base de datos de clientes, precios y promociones. Realizar el seguimiento de cobranzas en coordinación con el área de administración. Asistir en la preparación de presentaciones comerciales e informes de gestión. Colaborar en la implementación de acciones comerciales y campañas de venta. Gestionar documentación y archivos del área comercial.Requisitos del puesto Formación:Estudios terciarios o universitarios avanzados en Administración de Empresas, Comercialización o afines (deseable).Experiencia: preferentemente un mínimo 2 años de experiencia en funciones administrativas dentro de áreas de ventas o comerciales (se valorara en retail o consumo masivo).Conocimientos técnicos: Excel avanzado (excluyente): manejo de fórmulas complejas, tablas dinámicas, búsqueda y referencias, macros y generación de reportes automáticos. Manejo de sistemas de gestión comercial. Conocimientos generales de procesos de venta, facturación y stock.Competencias y habilidades Autonomía y proactividad: capacidad para organizar su trabajo y resolver temas sin supervisión constante. Orden y precisión administrativa. Orientación a resultados y al cliente interno. Capacidad analítica y atención al detalle. Trabajo en equipo y comunicación efectiva. Manejo de información confidencial con criterio profesional.Condiciones y beneficiosJornada: lunes a viernes de 8.30 a 17:30Beneficios: Obra Social, descuentos en productos, día de cumpleaños.</t>
  </si>
  <si>
    <t>https://www.bumeran.com.ar/empleos/1118000814.html</t>
  </si>
  <si>
    <t>1118020225</t>
  </si>
  <si>
    <t>Representante de atención al cliente</t>
  </si>
  <si>
    <t>Baires HR</t>
  </si>
  <si>
    <t>Buenos Aires, Buenos Aires</t>
  </si>
  <si>
    <t>Empresa multinacional, lider en servicios corporativos B2B y medios de pagos. Para empresa lider en servicios B2B, estamos buscando un Representante de Atención al cliente.Las tareas del rol serán: Brindar un servicio de atención al cliente excepcional mediante el manejo de consultas, quejas y solicitudes a través de mails, llamadas telefónicas y mensajes de WhatsApp, garantizando la satisfacción del cliente y el cumplimiento de los estándares de calidad establecidos por la empres Fidelizar al Cliente generando un vínculo duradero en el corto plazo. Detectar oportunidades de venta de otras soluciones en el periodo de implementación. Colaboración constante con otras áreas para entregar soluciones al cliente. Proponer mejoras constantes en los procesos internos. Segmentar la cartera propia con datos relacionados a conocer nuestros clientes, eje: competidor, actividad económica, rubro, forma de uso de la solución contratada, entre otros.-Puesto Full time de 9 a 18hrs.-Lugar de trabajo: Munro - Modalidad Hibrida Requisitos: Estudios universitarios: Lic. en Administración, Comunicación, Comercialización y/o afines Experiencia previa en posiciones similares. Otros cursos específicos relacionados al objetivo serán valorados. Conocimiento práctico de herramientas de CRM y plataformas de mensajería como WhatsApp. Vocación al cliente Perfil estratégico, analítico y proactivo/eficaz Habilidades interpersonales y de comunicación excepcionales, así como habilidades para resolver problemas Empatía y habilidad para recibir e interpretar distintos puntos de vista transformando eso en acciones concretas. Beneficios Prepaga para grupo familiar Días habiles de vacaciones Día de cumpleaños libre Almuerzo Y más!</t>
  </si>
  <si>
    <t>https://www.bumeran.com.ar/empleos/1118020225.html</t>
  </si>
  <si>
    <t>1118003709</t>
  </si>
  <si>
    <t>CAJERO/ENCARGADO</t>
  </si>
  <si>
    <t>Recursos Humanos VCF</t>
  </si>
  <si>
    <t>Adrogué, Buenos Aires</t>
  </si>
  <si>
    <t>15-10-2025</t>
  </si>
  <si>
    <t>Importante cadena gastronómica en zona sur Adrogue incorpora un Cajero/Encargado de turno.Entre sus funciones principales estarán: Manejar las transacciones diarias de manera eficiente y precisa, incluyendo pagos en efectivo, tarjetas de crédito/débito y otros métodos. Realizar arqueos de caja al inicio y final del turno, asegurando que los saldos coincidan. Brindar una óptima atención al cliente. Manejos de las plataformas Rappi y Pedidos Ya. (no excluyente). Manejo de sistema de gestión. Manejo paquete Office, especialmente de Excel. Coordinar al equipo del turno para garantizar que las operaciones fluyan. Monitorear el cumplimiento de las tareas asignadas al personal. Velar por el cumplimiento de normativas internas de la empresa.Nos orientamos a personas con experiencia comprobable en el rubro, con un mínimo de 2 años en posiciones similares.Disponibilidad horaria full-time. Residir en la zona o alrededores.Lugar de trabajo Adrogué centro, de lunes a domingos con un franco semanal.</t>
  </si>
  <si>
    <t>https://www.bumeran.com.ar/empleos/1118003709.html</t>
  </si>
  <si>
    <t>1118017586</t>
  </si>
  <si>
    <t>Médica Clínica o Dermatóloga – Especialista en tratamientos estéticos inyectables</t>
  </si>
  <si>
    <t>Gentile y Asociados Consultores</t>
  </si>
  <si>
    <t>Quilmes, Buenos Aires</t>
  </si>
  <si>
    <t>24-10-2025</t>
  </si>
  <si>
    <t>Clínica estética de reconocida trayectoria en la zona sur de GBA (Quilmes)Nos encontramos en la búsqueda de una Médica con experiencia en tratamientos estéticos inyectables, para incorporarse a un centro especializado en dermatología estética y aparatología avanzada. Responsabilidades principales Realizar procedimientos inyectables (relleno de labios, ojeras, rinomodelación, Radiesse, entre otros). Aplicar tratamientos con tecnología láser (Nordlys, CO₂) y equipos como Ultraformer/HIFU. Evaluar pacientes y diseñar planes de tratamiento personalizados, integrando distintas tecnologías. Cargar historias clínicas y realizar el seguimiento post-tratamiento. Cumplir con los protocolos médicos y normas de seguridad del centro. Condiciones Esquema de colaboración con honorarios por comisión según tratamientos realizados. No se abona alquiler ni insumos. Días de atención disponibles: Lunes, martes, jueves y sábados por la mañana. Lunes, miércoles y viernes por la tarde. Preferentemente iniciar con 1 día por la tarde y 1 día por la mañana. Requisitos: Perfil buscado Médica Clínica o Dermatóloga (excluyente título habilitante y matrícula activa). Experiencia comprobable en medicina estética y uso de aparatología. Excelente trato interpersonal y orientación al paciente. Compromiso, responsabilidad y vocación estética. Se valorarán perfiles que no sean de la zona. Beneficios Beneficios: Integración a un equipo de profesionales en una clínica reconocida en su área. Oportunidad de desarrollo profesional y crecimiento dentro de la clínica. Ambiente de trabajo profesional y ameno. PropuestaSumarte a un espacio estético consolidado, con pacientes fidelizados, aparatología de última generación y un ambiente profesional y colaborativo.</t>
  </si>
  <si>
    <t>https://www.bumeran.com.ar/empleos/1118017586.html</t>
  </si>
  <si>
    <t>1118025956</t>
  </si>
  <si>
    <t>Jardinero</t>
  </si>
  <si>
    <t>Austral limpieza</t>
  </si>
  <si>
    <t>Río Grande, Tierra del Fuego</t>
  </si>
  <si>
    <t>JardineroResumen del PuestoEstamos buscando un Jardinero con experiencia en el cuidado y mantenimiento de jardines. El candidato ideal deberá contar con experiencia en corte de césped y poseer un certificado de antecedentes penales actualizado. Se valorará contar con licencia de conducir.Responsabilidades Realizar el corte y mantenimiento del césped. Cuidado general de plantas y flores. Mantener el orden y la limpieza de las áreas verdes. Otras tareas relacionadas con el mantenimiento de jardines. Limpieza de vidriosRequisitos Experiencia comprobable en jardinería. Certificado de antecedentes penales actualizado. (Deseable) Licencia de conducir. Disponibilidad para trabajar en turno mañana, de Lunes a Viernes.</t>
  </si>
  <si>
    <t>https://www.bumeran.com.ar/empleos/1118025956.html</t>
  </si>
  <si>
    <t>2164100</t>
  </si>
  <si>
    <t>Mozo/Moza</t>
  </si>
  <si>
    <t>Vino Tourism Argentina SRL</t>
  </si>
  <si>
    <t>Tunuyán, Mendoza</t>
  </si>
  <si>
    <t>22-09-2025</t>
  </si>
  <si>
    <t>The Vines of Mendoza es el principal destino vitivinícola de Sudamérica, reconocido por ser pionero en la propiedad de viñedos privados y establecer altos estándares para vinos excepcionales y hospitalidad de clase mundial. Desde nuestros inicios en 2005, hemos crecido hasta incluir a más de 300 propietarios de viñedos privados, apasionados entusiastas del vino que han aprovechado la oportunidad única de poseer un viñedo y colaborar con enólogos de élite para elaborar sus propios vinos personalizados. The Vines Resort &amp; Spa continúa ubicándose entre los mejores hoteles del mundo y ofrece una experiencia incomparable. ¡Sumate a The Vines!Estamos buscando Mozos/Mozas Ubicación: The Vines Resort &amp; Spa – Valle de Uco, Mendoza¿Te apasiona la hospitalidad y querés ser parte de un equipo de excelencia en servicio? ¡Esta oportunidad es para vos! Requisitos: Requisitos excluyentes Manejo avanzado de inglés (oral y escrito) – se valorará portugués. Residencia en Tunuyán o zonas cercanas. Disponibilidad para horarios rotativos. Experiencia mínima de 1 año en servicio de salón o posiciones similares. Competencias y perfil deseado Vocación de servicio y actitud cordial. Buenas habilidades de comunicación y trabajo en equipo. Proactividad, organización y atención al detalle. Beneficios OfrecemosUn entorno de trabajo profesional y dinámico, oportunidades de crecimiento y la posibilidad de formar parte de un equipo que brinda experiencias de primer nivel a nuestros huéspedes.Si cumplís con los requisitos, te esperamos para vivir la experiencia The Vines!</t>
  </si>
  <si>
    <t>https://www.bumeran.com.ar/empleos/2164100.html</t>
  </si>
  <si>
    <t>2165052</t>
  </si>
  <si>
    <t>Electricista Industrial</t>
  </si>
  <si>
    <t>Serval SRL</t>
  </si>
  <si>
    <t>Centenario, Neuquén</t>
  </si>
  <si>
    <t>02-10-2025</t>
  </si>
  <si>
    <t>Electricista IndustrialResumenBuscamos un Electricista Industrial calificado para unirse a nuestro equipo. El candidato ideal tendrá experiencia en mantenimiento preventivo y correctivo, interpretación de planos eléctricos, dimensionamiento de instalaciones eléctricas, montaje de canalizaciones eléctricas y diseño y armado de tableros eléctricos.ResponsabilidadesRealizar el mantenimiento preventivo y correctivo de equipos e instalaciones eléctricas.Interpretar planos unifilares eléctricos.Dimensionar instalaciones eléctricas y selectividades.Montar canalizaciones eléctricas.Diseñar y armar tableros eléctricos de control y potencia.RequisitosExperiencia comprobable en el puesto.Disponibilidad para trabajar los fines de semana.Título secundario completo, preferentemente con especialización en Electricidad.Experiencia en mantenimiento Correctivo y Preventivo eléctrico.</t>
  </si>
  <si>
    <t>https://www.bumeran.com.ar/empleos/2165052.html</t>
  </si>
  <si>
    <t>2165301</t>
  </si>
  <si>
    <t>Supervisor/a Administración Autos usados</t>
  </si>
  <si>
    <t>Cognitio Consulting</t>
  </si>
  <si>
    <t>06-10-2025</t>
  </si>
  <si>
    <t>Supervisor de Administración – Autos Nuevos y Usados Profesional con experiencia en la gestión administrativa del proceso completo de compra y venta de vehículos nuevos y usados. Encargado de liderar equipos administrativos, asegurar el cumplimiento de plazos para la disponibilidad de las unidades y optimizar los procesos para reducir costos operativos (patentes, multas, inhibiciones, reprocesos, etc.). Enfocado en la eficiencia, el control documental y la calidad del servicio interno, garantizando una administración ordenada y resultados medibles. Requisitos: Experiencia comprobable en áreas administrativas de concesionarios (0 km y usados). Habilidad en liderazgo y coordinación de equipos. Manejo avanzado de paquete Office. Secundario completo (preferentemente formación técnica o administrativa). Disponibilidad horaria para trabajo presencial (lunes a viernes) en Tortuguitas, Buenos Aires.</t>
  </si>
  <si>
    <t>https://www.bumeran.com.ar/empleos/2165301.html</t>
  </si>
  <si>
    <t>1116898892</t>
  </si>
  <si>
    <t>Chofer - Repartidor</t>
  </si>
  <si>
    <t>Benavídez, Buenos Aires</t>
  </si>
  <si>
    <t>02-09-2025</t>
  </si>
  <si>
    <t>Descripción del puestoSomos una empresa alimenticia en constante crecimiento y estamos buscando un Chofer de Repartos responsable, confiable y con actitud proactiva para sumarse a nuestro equipo. Esta persona será la encargada de realizar las entregas de nuestros productos, asegurándose de que cada pedido llegue en tiempo y forma a su destino, además de cuidar y mantener en excelente estado del vehiculo asignado, que es una herramienta clave en su labor diaria.Responsabilidades: Verificación de los pedidos para asegurar la correcta entrega según lo solicitado. Mantener el vehiculo en óptimas condiciones, tanto a nivel mecánico como de limpieza. Reportar cualquier inconveniente relacionado con el vehiculo o las entregas. Colaborar con el equipo logístico para coordinar rutas y tiempos de entrega de manera eficiente.Requisitos: Experiencia mínima de 2 años como chofer, preferentemente en tareas de entrega de productos. Licencia de conducir PROFESIONAL vigente, (excluyente) Libreta sanitaria nacional (excluyente) Conocimiento básico en el mantenimiento y cuidado de vehículos. Actitud responsable y puntualidad. Capacidad para gestionar las entregas de manera eficiente y autónoma. Compromiso con el cuidado de los recursos de la empresa, especialmente con los vehiculos como herramienta de trabajo. Buena comunicación y capacidad para interactuar con clientes en el momento de la entrega.Puesto Full timeUbicación: Benavidez, Buenos Aires</t>
  </si>
  <si>
    <t>https://www.bumeran.com.ar/empleos/1116898892.html</t>
  </si>
  <si>
    <t>1118023904</t>
  </si>
  <si>
    <t>Operario Picking Zona Norte</t>
  </si>
  <si>
    <t>Escobar, Buenos Aires</t>
  </si>
  <si>
    <t>Importantes Operadores logísticos, ubicados de Zona Norte (Escobar, El Talar, Pilar) buscan incorporar Operarios y Pickeadores eventuales.Tareas: * Picking con RF * Carga y descarga de camiones. * Conteo de productos * Armado de pedidosRequisitos: * Experiencia comprobable * Residir en Zona Norte de Buenos Aires * Tener entre 20 y 45 años. * Secundario completo (Con analitico en mano, excluyente). * Disponibilidad horaria para turno rotativos (mañana, tarde y noche)Modalidad de contratacion: eventual a traves de agencia de personal.Salario: acorde al convenio Choferes de CamionesSi cumplis con los requisitos, esperamos tu postulacion!</t>
  </si>
  <si>
    <t>https://www.bumeran.com.ar/empleos/1118023904.html</t>
  </si>
  <si>
    <t>1117980907</t>
  </si>
  <si>
    <t>Operario de Almacén/Logística Z/Escobar</t>
  </si>
  <si>
    <t>BAYTON</t>
  </si>
  <si>
    <t>24-09-2025</t>
  </si>
  <si>
    <t>Importante empresa Metalúrgica incorpora operario de almacén /logística. Principales tareas: Recepción y verificación de mercadería. Almacenamiento y organización de productos. Preparación de pedidos y despacho de mercadería. Control de inventario y registro en sistema. Mantenimiento del orden y limpieza en el almacén. Control de Inventario Se requiere: Experiencia mínima 1 año en el puesto Secundario completo Técnico. Preferentemente Horario Lunes a viernes 7 a 19 hs Zona de trabajo : Escobar o aledaños</t>
  </si>
  <si>
    <t>https://www.bumeran.com.ar/empleos/1117980907.html</t>
  </si>
  <si>
    <t>1117990944</t>
  </si>
  <si>
    <t>Repositor/a Externo/a (Eventual) Moreno</t>
  </si>
  <si>
    <t>Moreno, Buenos Aires</t>
  </si>
  <si>
    <t>¡Tenemos una oportunidad para vos!Nos encontramos en la búsqueda de Repositor Externo Eventual para Moreno, Buenos Aires.Las principales tareas del puesto serán:-Limpieza de góndola y control de fechas de vencimiento-Reposición de los productos asignados-Mantener abastecidos y en orden los freezers y las góndolas de los PDV-Armado de exhibiciones primaria (góndola) según Planogramas-Armado de exhibiciones secundarias (punteras, islas, cruzadas etc.)-Colocación y seguimiento del material POP-Control de ofertas y precios, además de la colocación de carteles.-Controlas quiebres y falsos stocks.-Control de mermas y de Calidad.Requisitos:-Contar con experiencia previa en reposición de mercadería.-Residir en zonas cercanas.-Contar con secundario completo y analítico en mano.-Contar con Libreta Sanitario al dia.Experiencia:-Experiencia de al menos 6 meses en tareas de repositor.Horario de trabajo: Full TimeLugar de trabajo: Moreno, Buenos Aires.Modalidad de contratación: EventualEn ManpowerGroup promovemos una cultura inclusiva y diversa basada en el respeto y en la igualdad de oportunidades.Te damos algunas recomendaciones para corroborar la veracidad de nuestras búsquedas: https://bit.ly/Recomendaciones-Avisos-Laborales</t>
  </si>
  <si>
    <t>https://www.bumeran.com.ar/empleos/1117990944.html</t>
  </si>
  <si>
    <t>1117961954</t>
  </si>
  <si>
    <t>Asistente Administrativo General</t>
  </si>
  <si>
    <t>Idenor Ingeniería</t>
  </si>
  <si>
    <t>San Martin, Buenos Aires</t>
  </si>
  <si>
    <t>12-09-2025</t>
  </si>
  <si>
    <t>Asistente Administrativo GeneralResumen del PuestoEstamos buscando un Asistente Administrativo General para unirse a nuestro equipo. El candidato ideal será responsable de brindar soporte administrativo a varios departamentos dentro de la organización. Buscamos una persona proactiva, organizada y con excelentes habilidades de comunicación.Responsabilidades Gestionar y organizar documentos y archivos. Coordinar reuniones y eventos. Preparar informes y presentaciones. Realizar tareas de contabilidad básica.Requisitos Experiencia previa en un puesto administrativo. Dominio de Microsoft Office Suite (Word, Excel, PowerPoint). Se valorará experiencia en tareas de depósito o logística.</t>
  </si>
  <si>
    <t>https://www.bumeran.com.ar/empleos/1117961954.html</t>
  </si>
  <si>
    <t>1117982053</t>
  </si>
  <si>
    <t>Desarrollador Angular Senior</t>
  </si>
  <si>
    <t>Cultura RRHH</t>
  </si>
  <si>
    <t>Buenos Aires</t>
  </si>
  <si>
    <t>30-09-2025</t>
  </si>
  <si>
    <t>Lic. en Psicología - Selección de Personal - Evaluaciones Psicolaborales - RRHH Buscamos un Desarrollador Angular Senior para que se sume a nuestro equipo.Este rol requiere no solo un dominio sólido de Angular y tecnologías web modernas, sino también una mirada estratégica que permita escalar sistemas, guiar decisiones arquitectónicas y elevar los estándares técnicos del equipo.El candidato ideal será un referente técnico que:● Colabore estratégicamente en la construcción y actualización de pautas técnicas y mejores prácticas dentro del equipo de desarrollo.● Participe activamente en el diseño arquitectónico, proponiendo mejoras sostenibles y tomando decisiones clave.● Tenga un conocimiento transversal en Angular y tecnologías relacionadas (, AWS, Webpack), con capacidad para abordar problemas complejos mediante análisis avanzado, debugging profundo e instrumentación a gran escala.● Asuma responsabilidad por el rendimiento, calidad y estabilidad de los sistemas críticos, anticipando riesgos técnicos y asegurando entregables con altos estándares.● Impulse la adopción de nuevas tecnologías y enfoques técnicos cuando lo amerite el contexto.● Actúe como mentor, promoviendo el crecimiento de otros desarrolladores y resolviendo bloqueos con liderazgo técnico y comunicación clara.Responsabilidades Principales:● Desarrollar, mantener y escalar funcionalidades del CX Portal con enfoque en rendimiento, reutilización y sostenibilidad.● Liderar la integración de Module Federation y la implementación de técnicas de Lazy Loading.● Guiar al equipo en la optimización de Webpack y mejora continua de la experiencia del usuario.● Participar en el despliegue y monitoreo en AWS, empleando CloudFront y CloudFormation.● Velar por la eficiencia técnica del sistema, gestionando cachés, stores y prácticas de mantenimiento de largo plazo. Requisitos: ● Más de 4 años de experiencia en Angular (se considera +3 años si se cuenta con expertise en otros frameworks).● Dominio de Module Federation y Lazy Loading.● Experiencia en Webpack para optimización y empaquetado.● Conocimientos sólidos de Nodejs con TypeScript.● Familiaridad con servicios AWS, especialmente CloudFront y CloudFormation (se valorará el conocimiento de infraestructura como código).● Experiencia en el uso de cachés y stores para maximizar el rendimiento.Requisitos Deseables:● Experiencia en el desarrollo de portales de experiencia de usuario (CX).● Conocimientos en otros frameworks frontend (React, Vue, Svelte, etc.).● Proactividad y autonomía para trabajar en contextos colaborativos.Modalidad 100% remoto, pero con la disponibilidad de reunirse una vez al mes en oficina CABA. Beneficios ● Flexibilidad● Regalos y descuentos● Diversión● Formación y Capacitacionesy mas!!</t>
  </si>
  <si>
    <t>https://www.bumeran.com.ar/empleos/1117982053.html</t>
  </si>
  <si>
    <t>1118018461</t>
  </si>
  <si>
    <t>Asesor/a de Admisiones</t>
  </si>
  <si>
    <t>Universidad Torcuato Di Tella</t>
  </si>
  <si>
    <t>La Universidad Torcuato Di Tella se encuentra en búsqueda de una persona para sumarse al equipo de Admisiones. La misión del puesto es acompañar a los postulantes en su proceso de admisión y asesorarlos en la elección de carrera, brindar atención a alumnos, tanto potenciales como actuales, y colaborar en la planificación de actividades del área.Buscamos una persona dinámica, proactiva y resolutiva, con marcada vocación de servicio atenta a los detalles y con muy buen manejo de las relaciones interpersonales, así como excelente comunicación oral y escrita.Entre las principales funciones, se destacan: Asesoramiento: acompañar a los postulantes en el proceso de elección de su carrera, brindando orientación personalizada, guiándolos en la identificación de sus intereses y habilidades, y resolviendo dudas sobre perfiles profesionales, planes de estudio y oportunidades laborales. Charlas informativas: dar charlas grupales sobre el proceso de admisión, los programas académicos y las oportunidades que ofrece la universidad. Atención a consultas: responder consultas por mail, WhatsApp y teléfono; resolver inquietudes de potenciales alumnos y sus familias. Gestión de actividades y eventos: coordinar y participar en eventos para comunicar las carreras y oportunidades que brinda la universidad. Realizar viajes: viajar al interior del país para visitar escuelas, mantener contacto con autoridades educativas, dar charlas a estudiantes y generar vínculos con potenciales interesados. Gestión administrativa: actualizar el CRM de Admisiones, coordinar el curso de ingreso y procesar aplicaciones de postulantes.Requisitos excluyentes: Manejo de paquete Office y herramientas de Google. Disponibilidad para viajar y flexibilidad horaria para asistir a ferias y eventos. Experiencia en atención al público y/o tareas administrativas. Capacidad de proponer soluciones proactivamente a problemas existentes.Requisitos deseables: Experiencia en roles de admisiones universitarias, orientación vocacional o áreas relacionadas.Lugar de trabajo: CABAJornada laboral: lunes a viernes de 10 a 19hTipo de puesto: full-timeModalidad de trabajo: híbrida (4 días presenciales + 1 de home office).</t>
  </si>
  <si>
    <t>https://www.bumeran.com.ar/empleos/1118018461.html</t>
  </si>
  <si>
    <t>1118018714</t>
  </si>
  <si>
    <t>Diseñador Gráfico E-commerce</t>
  </si>
  <si>
    <t>TODOMICRO</t>
  </si>
  <si>
    <t>23-10-2025</t>
  </si>
  <si>
    <t>Diseñador Gráfico E-commerceResumenBuscamos un Diseñador Gráfico creativo y proactivo con experiencia en la optimización de contenido visual para plataformas de e-commerce. El candidato ideal será responsable de mejorar la presentación de nuestros productos, asegurando que sean atractivos y efectivos para impulsar las ventas.ResponsabilidadesCrear y editar contenido visual para publicaciones de productos en plataformas de e-commerce.Optimizar títulos y descripciones de productos para mejorar el SEO y la conversión.Asegurar que las imágenes de los productos sean de alta calidad y representen fielmente el producto.Gestionar y actualizar publicaciones existentes para mantener la información precisa y relevante.Colaborar con otros equipos para desarrollar estrategias de marketing visual efectivas.RequisitosExperiencia demostrable en diseño gráfico, preferiblemente en el sector de e-commerce.Excelente manejo de herramientas de diseño gráfico (Photoshop, Illustrator, etc.).</t>
  </si>
  <si>
    <t>https://www.bumeran.com.ar/empleos/1118018714.html</t>
  </si>
  <si>
    <t>1118031991</t>
  </si>
  <si>
    <t>ASESOR DE VENTAS DIRECTAS</t>
  </si>
  <si>
    <t>Ruge Team</t>
  </si>
  <si>
    <t>Ramos Mejía, Buenos Aires</t>
  </si>
  <si>
    <t>04-11-2025</t>
  </si>
  <si>
    <t>Descripción del puestoBuscamos Asesor Comercial en Ventas Directas.Estamos buscando asesores comerciales apasionados y motivados para unirse a nuestro equipo de ventas directas,nos orientamos a la venta de productos de cocina de alta gama relacionados con la salud. Si eres un emprendedor con experiencia en ventas y te gusta trabajar de manera independiente, esta es tu oportunidad.DESCRIPCION DEL PUESTO*ASESOR COMERCIAL: Buscamos personas con experiencia en ventas directas que puedan promocionar y vender nuestros productos/ servicio a clientes potenciales.*TRABAJO INDEPENDIENTE: Tendras la libertad de trabajar de manera independiente y establecer tus propios objetivos, organizando tu agenda y horarios.*COMISIONES Y BONIFICACIONES: Tendras la oportunidad de ganar comisiones y bonificaciones por tus ventas y logros.BENEFICIOS:* FLEXIBILIDAD: Libertad para trabajar de forma independiente.* OPORTUNIDADES DE CRECIMIENTO: Oportunidadades de crecimiento y desarrollo en tu carrera.*COMISIONES Y BONIFICACIONES: Oportunidad de ganar comisiones y bonificaciones para tus ventas y logros.¿COMO APLICAR?Si estas interesado en esta oportunidad, por favor envia tu curriculum y una breve descripcion de tus habilidades y experiencias.ESTAMOS ANSIOSOS POR CONOCER A NUESTROS PROXIMOS ASESORES COMERCIALES.</t>
  </si>
  <si>
    <t>https://www.bumeran.com.ar/empleos/1118031991.html</t>
  </si>
  <si>
    <t>1116884561</t>
  </si>
  <si>
    <t>Representante Comercial (Consumo Masivo / Grandes Cuentas)</t>
  </si>
  <si>
    <t>José C. Paz, Buenos Aires</t>
  </si>
  <si>
    <t>En Ceta Capital Humano nos encontramos en la búsqueda de un Representante Comercial Junior para una importante empresa ubicada en la zona noroeste de Buenos Aires.👉Descripción de puesto: Atención/fidelización de la cartera de clientes actuales, como así también detectar y captar nuevos clientes para incrementar los revenues en la cartera existente. Atención/gestión de los requerimientos/reclamos de los clientes. Promoción de productos y presentaciones con los clientes. Monitoreo y anticipación de situaciones del mercado en cuanto a novedades/tendencia/problemáticas que impacten en un resultado positivo comercial. Cobranza mensual, conciliación de cuentas de clientes con el área financiera de la empresa.✅Requisitos: Experiencia comprobable en ventas mayor a 3 años en empresas de consumo masivo atendiendo grandes cuentas de marcas directas. Inglés básico. Registro de conducir vigente. Disponibilidad de lunes a viernes de 8 a 17hs (dedicación full time). Disponibilidad para realizar viajes en el país.🙌Competencias requeridas: Negociación Planificación, organización y coordinación. Capacidad analítica. Trabajo en equipo y buenas relaciones interpersonales. Comunicación asertiva. Adaptación.🎉Se ofrece: Contratación inmediata y directa con la empresa. Prepaga.¡Sumate a esta oportunidad única y llevá tu carrera al siguiente nivel!💯</t>
  </si>
  <si>
    <t>https://www.bumeran.com.ar/empleos/1116884561.html</t>
  </si>
  <si>
    <t>1117995368</t>
  </si>
  <si>
    <t>ASESOR TÉCNICO NUTRICIÓN ANIMAL RUMIANTES</t>
  </si>
  <si>
    <t>Capital Humano Agro</t>
  </si>
  <si>
    <t>Para importante empresa elaboradora de productos para la Nutrición Animal, líder en el sector, seleccionaremos su Asesor Técnico con comprobada experiencia en rumiantes.La empresa tiene amplia y reconocida trayectoria a nivel nacional y regional cubriendo con sus productos las demandas de los sectores bovinos, - carne y leche. Su cartera de clientes es muy amplia y cubre todo el país, con foco en la región centro del país.El profesional a incorporar se desempeñará en principio, junto con el actual profesional Director Técnico, que a la vez es uno de los Directores de la empresa, para conocer en profundidad todos los productos para rumiantes, clientes y posibilidades de desarrollo futuro.De esta forma, se irá preparando para asumir mayores responsabilidades a nivel local, en la medida que la empresa expande sus actividades en la región.Orientamos nuestra búsqueda a un profesional Ingeniero Zootecnista, Ingeniero Agrónomo o Veterinario, con especialización o maestría en Nutrición Animal de rumiantes, y con reconocida trayectoria a nivel nacional.La empresa tiene sus oficinas y Planta de Elaboración en zona Gran Buenos Aires y será ideal (pero no excluyente) que la persona a seleccionar esté radicada en la zona centro del país (provincia de Buenos Aires, Santa Fe, Córdoba o Entre Ríos)Deberá estar dispuesto a realizar frecuentes viajes por el interior del país.Consideramos que es una excelente oportunidad de crecimiento laboral y personal, para un reconocido profesional de Nutrición Animal en rumiantes, que esté dispuesto a asumir este importante desafío que implica la posición a cubrir. Requisitos:</t>
  </si>
  <si>
    <t>https://www.bumeran.com.ar/empleos/1117995368.html</t>
  </si>
  <si>
    <t>2170124</t>
  </si>
  <si>
    <t>Analista de Cultivo - Roque Pérez - BA</t>
  </si>
  <si>
    <t>Ledesma S.A.A.I.</t>
  </si>
  <si>
    <t>Roque Pérez, Buenos Aires</t>
  </si>
  <si>
    <t>05-12-2025</t>
  </si>
  <si>
    <t>Somos una empresa agroindustrial Argentina con más de 100 años de historia, líder en la producción de azúcar y papel, y con una importante participación en los mercados de frutas y jugos cítricos, alcohol, bioetanol, carne y cereales. Empleamos a cerca de personas que en su mayoría trabajan en Jujuy, provincia en la que nació Ledesma y donde tenemos hectáreas destinadas a la cosecha de nuestra principal materia prima: la caña de azúcar. Este cultivo se renueva anualmente y se aprovecha por completo. Producimos con la mejor calidad, preservamos los ecosistemas que nos rodean y cuidamos el bienestar de nuestros colaboradores y de las comunidades donde estamos presentes. Nos encontramos en la búsqueda de un Analista de Cultivo para sumarse a nuestro Negocio Agropecuario en el interior de Buenos Aires. (Zona Roque Pérez) Será responsable de: Realizar el control, registro y seguimiento de los cultivos de soja, trigo, maíz y pastura para ganado. Identificar y gestionar problemas relacionados con malezas, insectos y enfermedades. Garantizar el desarrollo óptimo del cultivo y maximizar los rendimientos esperados. Asegurar la correcta ejecución de siembras, cosechas y pulverizaciones. Realizar mediciones de suelos y niveles de agua. Controlar el correcto funcionamiento de las maquinarias. Colaborar en la gestión de sistemas de información geográfica, así como en la creación, actualización y mantenimiento de los mapas detallados de cosecha y siembra. Desempeñar tareas administrativas varias, como generación de informes y reportes. Requisitos: Ser graduado de secundario Técnico agropecuario (excluyente) y contar con formación universitaria en Ingeniería agrónoma (deseable) Contar con experiencia en posiciones similares y conocimiento en operatoria agrícola (deseable) Tener conocimiento en manejo de SAP/Cencerro, SIMA, Paquete Office (deseable) Residir en Roque Pérez o zonas aledañas (excluyente) Contar con disponibilidad full time y carnet de conducir vigente para manejo de moto y camioneta (excluyente) Beneficios Prepaga para vos y tu grupo familiar ‍️ Días adicionales de vacaciones Posibilidad de acceso a alojamiento ¡Y mucho más!</t>
  </si>
  <si>
    <t>https://www.bumeran.com.ar/empleos/2170124.html</t>
  </si>
  <si>
    <t>1117975249</t>
  </si>
  <si>
    <t>Gerente General para Maderera (PYME)</t>
  </si>
  <si>
    <t>PROHA</t>
  </si>
  <si>
    <t>21-09-2025</t>
  </si>
  <si>
    <t>Importante maderera con tres sucursales (San Martín, CABA y Luján) incorpora un Gerente General para liderar y supervisar la gestión integral de la empresa.Responsabilidades principales:-Supervisar el funcionamiento de las tres sucursales, con base principal en San Martín.-Coordinar y dirigir las áreas de logística, depósitos y operaciones comerciales.-Liderar y acompañar a los equipos de trabajo, impulsando el cumplimiento de objetivos.-Resolver incidencias operativas y elevar a la Dirección únicamente los temas de mayor relevancia.-Implementar y controlar procesos de mejora continua.-Analizar indicadores de gestión y elaborar reportes de resultados.-Velar por la rentabilidad y el cumplimiento de los estándares de calidad.-Representar a la empresa ante proveedores y clientes estratégicos cuando sea necesario.Requisitos:-Experiencia comprobable en posiciones de Gerencia General, Dirección de Operaciones o similares.-Conocimientos en logística, gestión de equipos y manejo de sucursales.-Visión estratégica, capacidad de organización y toma de decisiones.-Movilidad propia para trasladarse entre las sucursales.Condiciones de contratación:Jornada de lunes a viernes, de 8 a 17 hs.Relación de dependencia, en blanco.Sueldo a convenir según experiencia y trayectoria.</t>
  </si>
  <si>
    <t>https://www.bumeran.com.ar/empleos/1117975249.html</t>
  </si>
  <si>
    <t>1118028777</t>
  </si>
  <si>
    <t>Vendedor con Experiencia (Corredor)</t>
  </si>
  <si>
    <t>Tomas Aguirre</t>
  </si>
  <si>
    <t>Gran Buenos Aires, Buenos Aires</t>
  </si>
  <si>
    <t>Vendedor con Experiencia (Corredor)Resumen del PuestoBuscamos vendedores con experiencia y con actividad actual (corredor) para sumarse a nuestro equipo de ventas y agregar nuestro portafolio a su rutina diaria. Se tendrá en cuenta interesados con experiencia y se pondrá más interés si tal persona se encuentra en actividad.Responsabilidades Gestionar y ampliar cartera de clientes. Promover y vender productos de la compañía. Realizar seguimiento de las ventas y cobranzas. Cumplir con los objetivos de venta establecidos. Mantenerse actualizado sobre los productos y servicios de la compañía.Requisitos Experiencia comprobable en ventas (preferentemente en el rubro de distribución de alimentos). Actividad actual como corredor. Disponibilidad para facturar de lunes a viernes. Orientación a resultados y cumplimiento de objetivos. Excelentes habilidades de comunicación y negociación.Ofrecemos Sueldo a comisión por venta. Oportunidad de crecimiento profesional. Excelente ambiente de trabajo.</t>
  </si>
  <si>
    <t>https://www.bumeran.com.ar/empleos/1118028777.html</t>
  </si>
  <si>
    <t>1117977340</t>
  </si>
  <si>
    <t>RECEPCIONISTA ADMINISTRATIVO</t>
  </si>
  <si>
    <t>Consultora Theorema</t>
  </si>
  <si>
    <t>10-11-2025</t>
  </si>
  <si>
    <t>Nuestro cliente es un estudio contable de alta gama ubicado en el barrio de Palermo. Estamos buscando un/a recepcionista administrativo/a, cuya misión será dar asistencia a los socios y a la responsable de administración en tareas variadas. Quien ocupe la posición deberá destacarse por su actitud positiva y la apertura a múltiples ocupaciones de diferente naturaleza.Las principales responsabilidades del puesto son: Realizar las cobranzas del estudio (análisis de ingresos, solicitud de retenciones, llamados a los clientes para seguimiento de pagos, armado de informes de cobranzas) Dar de alta de proveedores y facturas en Tango. Suplir las licencias de la responsable de administración en tareas de pagos a proveedores, servicios e impuestos. Realizar certificaciones on line en el CPCE CABA Realizar la recepción de personas y correspondencia. Realizar las compras de oficina (insumos de librería, cocina, limpieza) en función del stock. Dar soporte en administración de personal (turnos médicos y psicotécnicos, alta de obra social, alta bancaria, ART, búsqueda de documentación para legajo) Postear novedades en RRSS y distribuir el newsletter mensual interno Contribuir a la organización de festejos o reuniones internas (almuerzos, cumpleaños, capacitaciones, etc.) Asistir a los socios en temas generales Requisitos: Requisitos: Buen nivel de inglés Habilidades de redacción y ortografía Conocimiento de Tango (deseable) Conocimiento de RRSS y CM Perfil muy proactivo y con actitud de servicio (excluyente) Beneficios Es un empleo formal, en relación de dependencia. Trabaja de lunes a viernes de 9 a 18hs, en modalidad híbrida (1 día de home office por semana)</t>
  </si>
  <si>
    <t>https://www.bumeran.com.ar/empleos/1117977340.html</t>
  </si>
  <si>
    <t>1118028048</t>
  </si>
  <si>
    <t>Asesor/a de Ventas y Atención al Cliente</t>
  </si>
  <si>
    <t>Banzz</t>
  </si>
  <si>
    <t>Ventas y Atención al ClienteResumen del PuestoEstamos buscando una Asesora de Ventas y Atención al Cliente dinámicoa y orientadoa al servicio para unirse a nuestro equipo. La candidata ideal debe tener experiencia en ventas o atención al público, preferiblemente en el sector retail, cosmética o moda, y un conocimiento básico de cuidado de la piel y bronceado.Responsabilidades Atender y asesorar a los clientes, ofreciendo un servicio personalizado y de alta calidad. Promocionar y vender productos, alcanzando los objetivos de ventas establecidos. Mantener el espacio de trabajo limpio y ordenado, cuidando la imagen de la marca. Manejar el sistema de cobro (POS) de forma eficiente y precisa. Resolver consultas y reclamos de los clientes de manera amable y profesional.Aptitudes y Conocimientos Deseables Experiencia en ventas o atención al público (retail, cosmética o moda). Conocimiento básico de cuidado de la piel y bronceado. Buen vocabulario y dicción clara. Manejo básico de POS o sistema de cobro.Cualidades Personales Proactividad y adaptabilidad. Sociabilidad natural. Empatía y autoconfianza. Cuidado de la imagen personal y del espacio.Requisitos Adicionales Disponibilidad para trabajar en horarios rotativos, incluyendo fines de semana y feriados. Capacidad para trabajar en equipo y bajo presión. Orientación al cliente y a la consecución de objetivos.</t>
  </si>
  <si>
    <t>https://www.bumeran.com.ar/empleos/1118028048.html</t>
  </si>
  <si>
    <t>1118009703</t>
  </si>
  <si>
    <t>Asesor Comercial E Commerce - Manager de redes sociales</t>
  </si>
  <si>
    <t>Empresa de Servicios Corporativos con 30 años en el mercado está en búsqueda de un ejecutivo con experiencia en maquinaria y equipo, equipamientos de cafetería y comedores, mobiliario y decoración, equipamiento de seguridad, soluciones de automatización, refrigeración en freezer y heladeras, equipamiento de oficinas, entre otros. Atención a emprendedores, empresas, comerciantes, tiendas minoristas, cafeterías y especial atención en el segmento HORECA (restaurantes, hotelería, paradores). Tareas y funciones del puesto • Asesoramiento comercial a prospectos y emprendedores • Manejo de venta de máquinas automatizadas o tecnología de producción, especialmente en el rubro gastronómico y hotelero. • Manejo de e-commerce (Mercado Libre, Tienda web y Market Place). Creación y actualización de anuncios • Creación de diseños e iniciativas comerciales para redes sociales, crosselling y promociones • Armado de diseños personalizados para clientes o prospectos • Supervisión a la agencia de marketing digital en cuanto a funcionamiento de campañas (Meta y Google Adwords), mailing, creación de contenido y sitio web • Manejo de CRM y sistemas de gestión Manejo de herramientas y conocimientos • Paquete Office (Excel, Word, Powerpoint). • CRM Hubspot • Photoshop o afín • Canva o afín Sus Responsabilidades y Objetivos • Cumplir con los Objetivos de Ventas mensuales y anuales • Manejo de cuentas de redes sociales • Desarrollar nuevas carteras de clientes y potenciar a los clientes existentes. • Armado y gestión de publicaciones en redes sociales • Soporte en el diseño de presentaciones y material gráfico de baja y media definición • Aumentar los niveles de Facturación y participación del mercado. Amplia experiencia en • Ventas de equipamiento • Manejo de e-commerce • Google My Business y redes sociales • Manejo de objetivos de ventas Requisitos • Experiencia no menor a 3 años. Viva cerca de CABA • Sexo indistinto • Edad: Desde los 25 a 43 años Competencias • Manejo de prioridades, tiempos y seguimientos • Proactividad, entusiasmo e iniciativa • Manejo de presupuestos • Toleración a la presión del resultado y medición por objetivos • Adaptabilidad y flexibilidad • Trabajo en equipo y colaboración Ofrecemos: • Entorno laboral dinámico y motivador • Formar parte de un equipo sólido y con trayectoria en el mercado • Formación y capacitaciones constantes • Bonificaciones por desempeño y cumplimiento de objetivos Interesados • Enviar CV con pretensiones salariales • Con referencias comprobables • Horario y días: De lunes a Viernes de 8 a 17 hs • Modalidad: Presencial • Lugar de Trabajo: CAB</t>
  </si>
  <si>
    <t>https://www.bumeran.com.ar/empleos/1118009703.html</t>
  </si>
  <si>
    <t>→ Oferta</t>
  </si>
  <si>
    <t>→ Match</t>
  </si>
  <si>
    <t>titulo_limpio</t>
  </si>
  <si>
    <t>provincia</t>
  </si>
  <si>
    <t>localidad</t>
  </si>
  <si>
    <t>modalidad</t>
  </si>
  <si>
    <t>zona_residencia_req</t>
  </si>
  <si>
    <t>requiere_movilidad_propia</t>
  </si>
  <si>
    <t>sector_empresa</t>
  </si>
  <si>
    <t>rubro_empresa</t>
  </si>
  <si>
    <t>es_tercerizado</t>
  </si>
  <si>
    <t>area_funcional</t>
  </si>
  <si>
    <t>nivel_seniority</t>
  </si>
  <si>
    <t>tiene_gente_cargo</t>
  </si>
  <si>
    <t>mision_rol</t>
  </si>
  <si>
    <t>tareas_explicitas</t>
  </si>
  <si>
    <t>tareas_inferidas</t>
  </si>
  <si>
    <t>experiencia_min_anios</t>
  </si>
  <si>
    <t>experiencia_max_anios</t>
  </si>
  <si>
    <t>nivel_educativo</t>
  </si>
  <si>
    <t>carrera_especifica</t>
  </si>
  <si>
    <t>titulo_requerido</t>
  </si>
  <si>
    <t>skills_tecnicas_list</t>
  </si>
  <si>
    <t>soft_skills_list</t>
  </si>
  <si>
    <t>tecnologias_list</t>
  </si>
  <si>
    <t>herramientas_list</t>
  </si>
  <si>
    <t>idioma_principal</t>
  </si>
  <si>
    <t>nivel_idioma_principal</t>
  </si>
  <si>
    <t>jornada_laboral</t>
  </si>
  <si>
    <t>tipo_contrato</t>
  </si>
  <si>
    <t>salario_min</t>
  </si>
  <si>
    <t>salario_max</t>
  </si>
  <si>
    <t>moneda</t>
  </si>
  <si>
    <t>beneficios_list</t>
  </si>
  <si>
    <t>tiene_cobertura_salud</t>
  </si>
  <si>
    <t>licencia_conducir</t>
  </si>
  <si>
    <t>tipo_licencia</t>
  </si>
  <si>
    <t>tipo_oferta</t>
  </si>
  <si>
    <t>calidad_texto</t>
  </si>
  <si>
    <t>tiene_requisitos_discriminatorios</t>
  </si>
  <si>
    <t>nlp_version</t>
  </si>
  <si>
    <t>nlp_confidence_score</t>
  </si>
  <si>
    <t>Automotriz</t>
  </si>
  <si>
    <t>vendedor automotor y repuestero</t>
  </si>
  <si>
    <t>["paquete office", "canales de venta online", "computación en general"]</t>
  </si>
  <si>
    <t>["trabajo en equipo", "comunicacion"]</t>
  </si>
  <si>
    <t>["excelente clima laboral", "comedor en planta"]</t>
  </si>
  <si>
    <t>demanda_real</t>
  </si>
  <si>
    <t>media</t>
  </si>
  <si>
    <t>10.0.0</t>
  </si>
  <si>
    <t>Capital Federal</t>
  </si>
  <si>
    <t>presencial</t>
  </si>
  <si>
    <t>Manufactura/Industria</t>
  </si>
  <si>
    <t>Operaciones/Logistica</t>
  </si>
  <si>
    <t>Encargado/a de Depósito para la apertura de su nuevo local y centro de distribución en Argentina</t>
  </si>
  <si>
    <t>[{"valor": "Organización integral del depósito y del nuevo punto de venta", "texto_original": "Organización integral del depósito y del nuevo punto de venta"}, {"valor": "Control de inventarios y manejo de stocks", "texto_original": "Control de inventarios y manejo de stocks"}, {"valor": "Ejecución de rutinas administrativas y financieras (cierres de caja, conciliaciones bancarias, pagos)", "texto_original": "Ejecución de rutinas administrativas y financieras (cierres de caja, conciliaciones bancarias, pagos)"}, {"valor": "Gestión de facturación y documentación comercial", "texto_original": "Gestión de facturación y documentación comercial"}, {"valor": "Coordinación y liderazgo del equipo operativo", "texto_original": "Coordinación y liderazgo del equipo operativo"}, {"valor": "Entrega de mercadería y coordinación con RRHH", "texto_original": "Entrega de mercadería y coordinación con RRHH"}, {"valor": "Comunicación directa con directivos en Paraguay y Brasil", "texto_original": "Comunicación directa con directivos en Paraguay y Brasil"}]</t>
  </si>
  <si>
    <t>["inventarios", "facturación", "cierres administrativos"]</t>
  </si>
  <si>
    <t>["liderar y motivar equipos", "buenas capacidades de comunicación", "autogestivo"]</t>
  </si>
  <si>
    <t>full_time</t>
  </si>
  <si>
    <t>alta</t>
  </si>
  <si>
    <t>CABA</t>
  </si>
  <si>
    <t>hibrido</t>
  </si>
  <si>
    <t>Legal</t>
  </si>
  <si>
    <t>junior</t>
  </si>
  <si>
    <t>universitario</t>
  </si>
  <si>
    <t>Abogado/a</t>
  </si>
  <si>
    <t>ingles</t>
  </si>
  <si>
    <t>intermedio</t>
  </si>
  <si>
    <t>["desarrollo y crecimiento profesional", "excelente paquete de beneficios"]</t>
  </si>
  <si>
    <t>San Fernando</t>
  </si>
  <si>
    <t>Supervisar y coordinar tareas de limpieza</t>
  </si>
  <si>
    <t>[{"valor": "coordinar y supervisar las tareas diarias de limpieza", "texto_original": "Coordinar y supervisar las tareas diarias de limpieza"}, {"valor": "planificar cronograma de trabajo y limpiezas profundas", "texto_original": "Planificar cronograma de trabajo y limpiezas profundas"}, {"valor": "asignar tareas y controlar el desempeño del personal a cargo", "texto_original": "Asignar tareas y controlar el desempeño del personal a cargo"}, {"valor": "llevar control de inventario de uso de insumos", "texto_original": "Llevar control de inventario de uso de insumos"}, {"valor": "capacitar al equipo en técnicas, protocolos y seguridad", "texto_original": "Capacitar al equipo en técnicas, protocolos y seguridad"}]</t>
  </si>
  <si>
    <t>secundario</t>
  </si>
  <si>
    <t>["paquete office"]</t>
  </si>
  <si>
    <t>Ejecutivo de Cuentas SSR/SR</t>
  </si>
  <si>
    <t>Munro</t>
  </si>
  <si>
    <t>Preferentemente residir en zona norte (GBA) o acceso fácil a Munro</t>
  </si>
  <si>
    <t>Tecnologia/Software</t>
  </si>
  <si>
    <t>Staff Augmentation y Búsqueda y Selección</t>
  </si>
  <si>
    <t>Ventas/Comercial</t>
  </si>
  <si>
    <t>semisenior</t>
  </si>
  <si>
    <t>Captar y desarrollar cuentas industriales medianas y grandes</t>
  </si>
  <si>
    <t>[{"valor": "prospección activa de clientes industriales en sectores como industria pesada, manufactura, salud, energía, laboratorios", "texto_original": "prospección activa de clientes industriales en sectores como industria pesada, manufactura, salud, energía, laboratorios"}, {"valor": "generación de oportunidades de venta para productos y servicios técnicos", "texto_original": "Generación de oportunidades de venta para productos y servicios técnicos"}, {"valor": "seguimiento del pipeline comercial y actualización del CRM (Táctica Soft)", "texto_original": "seguimiento del pipeline comercial y actualización del CRM (Táctica Soft)"}, {"valor": "armado y presentación de propuestas técnico-comerciales", "texto_original": "Armado y presentación de propuestas técnico-comerciales"}, {"valor": "coordinación con áreas técnicas para armado de soluciones a medida", "texto_original": "Coordinación con áreas técnicas para armado de soluciones a medida"}, {"valor": "cumplimiento de objetivos mensuales de prospección, cotización y cierre", "texto_original": "Cumplimiento de objetivos mensuales de prospección, cotización y cierre"}, {"valor": "mantenimiento y desarrollo de relaciones de largo plazo con cuentas claves", "texto_original": "Mantenimiento y desarrollo de relaciones de largo plazo con cuentas claves"}]</t>
  </si>
  <si>
    <t>terciario</t>
  </si>
  <si>
    <t>Formación técnica (electromecánica, electrónica, electricidad)</t>
  </si>
  <si>
    <t>["CRM", "Táctica Soft"]</t>
  </si>
  <si>
    <t>["comunicación", "autonomía"]</t>
  </si>
  <si>
    <t>indeterminado</t>
  </si>
  <si>
    <t>["Excelente clima de trabajo"]</t>
  </si>
  <si>
    <t>Cordoba</t>
  </si>
  <si>
    <t>Rio Cuarto</t>
  </si>
  <si>
    <t>Salud/Farmaceutica</t>
  </si>
  <si>
    <t>farmacias</t>
  </si>
  <si>
    <t>Salud</t>
  </si>
  <si>
    <t>farmacéutico/a en Farmacity</t>
  </si>
  <si>
    <t>[{"valor": "dispensa de medicamentos", "texto_original": "Dispensa de medicamentos"}, {"valor": "control y orden de stock", "texto_original": "Control y orden de stock"}, {"valor": "participación como agente de salud en campañas de vacunación", "texto_original": "Participación como agente de salud en campañas de vacunación"}]</t>
  </si>
  <si>
    <t>farmacéutico/a</t>
  </si>
  <si>
    <t>["vocación de servicio", "compromiso con la excelencia y el cuidado del paciente"]</t>
  </si>
  <si>
    <t>["Medicina prepaga (Swiss Medical) para vos y tu grupo familiar", "Pago de matrícula, colegiatura y seguro de mala praxis a cargo de la compañía", "Día de cumpleaños libre", "Descuentos en nuestras sucursales y compra online de Farmacity, Get The Look, Simplicity y The Food Market", "Descuentos corporativos en gimnasios, cines, teatros, viajes, restaurantes, spas y otros rubros"]</t>
  </si>
  <si>
    <t>Lanus o Lomas de Zamora</t>
  </si>
  <si>
    <t>residir en Lanus o Lomas de Zamora</t>
  </si>
  <si>
    <t>Brindar asesoramiento y seguimiento de pedidos a través de medios digitales</t>
  </si>
  <si>
    <t>[{"valor": "asesorar y atender consultas", "texto_original": "Asesorar y atender consultas de clientes"}, {"valor": "realizar seguimiento de presupuestos, cotizaciones y pedidos", "texto_original": "Realizar seguimiento de presupuestos, cotizaciones y pedidos"}, {"valor": "cargar y actualizar información en el sistema", "texto_original": "Cargar y actualizar información en el sistema"}, {"valor": "coordinar internamente con áreas de logística y administración", "texto_original": "Coordinar internamente con las áreas de logística y administración para asegurar la correcta entrega de productos"}]</t>
  </si>
  <si>
    <t>["herramientas informáticas", "sistema CRM"]</t>
  </si>
  <si>
    <t>["comunicación", "negociación", "resolución de problemas"]</t>
  </si>
  <si>
    <t>["WhatsApp", "correo electrónico", "redes sociales"]</t>
  </si>
  <si>
    <t>metalurgia</t>
  </si>
  <si>
    <t>Realización de planos de piezas propias y relevamiento de piezas varias</t>
  </si>
  <si>
    <t>[{"valor": "realización de planos", "texto_original": "la realización de planos de piezas propias"}, {"valor": "relevamiento de piezas", "texto_original": "el relevamiento de piezas varias"}]</t>
  </si>
  <si>
    <t>los primeros años de Ingeniería</t>
  </si>
  <si>
    <t>Título Técnico Mecánico o Electromecánico</t>
  </si>
  <si>
    <t>["AutoCAD", "Solidworks 2D y 3D"]</t>
  </si>
  <si>
    <t>Villa Luzuriaga</t>
  </si>
  <si>
    <t>Transporte/Logistica</t>
  </si>
  <si>
    <t>Operador de autoelevadores</t>
  </si>
  <si>
    <t>["manejo de autoelevadores", "trabajo en logistica"]</t>
  </si>
  <si>
    <t>O</t>
  </si>
  <si>
    <t>GBA Norte</t>
  </si>
  <si>
    <t>Capital Federal o GBA Norte</t>
  </si>
  <si>
    <t>soluciones gráficas y documentales</t>
  </si>
  <si>
    <t>Desarrollar el segmento corporativo en directa y para su red de Distribuidores a nivel nacional</t>
  </si>
  <si>
    <t>[{"valor": "visitas a las cuentas", "texto_original": "Disponibilidad para visitas a las cuentas"}, {"valor": "preparación de propuestas competitivas", "texto_original": "Capacidad analítica de relevamiento en cada cuenta y detección de oportunidades"}]</t>
  </si>
  <si>
    <t>[{"valor": "presentar informes a la Gerencia", "texto_original": "Capacidad de Organización y planificación presentando informes a la Gerencia"}]</t>
  </si>
  <si>
    <t>["MS Office"]</t>
  </si>
  <si>
    <t>["Tango o equivalente"]</t>
  </si>
  <si>
    <t>["viáticos contra comprobantes"]</t>
  </si>
  <si>
    <t>B1</t>
  </si>
  <si>
    <t>San Isidro</t>
  </si>
  <si>
    <t>Tortuguitas / GARIN</t>
  </si>
  <si>
    <t>Alimentacion</t>
  </si>
  <si>
    <t>Produccion/Manufactura</t>
  </si>
  <si>
    <t>Asistir en la producción y manipulación de alimentos</t>
  </si>
  <si>
    <t>[{"valor": "fraccionamiento y envasado", "texto_original": "Fraccionamiento y envasado de productos alimenticios"}, {"valor": "empaque, llenado, cierre y precintado", "texto_original": "Empaque de los mismos, llenado, cierre y precintado de envases"}, {"valor": "etiquetado y control de calidad", "texto_original": "Etiquetado y control de calidad de los productos envasados"}, {"valor": "preparación de pedidos", "texto_original": "Preparación de pedidos"}, {"valor": "mantenimiento del orden y limpieza", "texto_original": "Mantenimiento del orden y limpieza del área de trabajo"}]</t>
  </si>
  <si>
    <t>["BPM"]</t>
  </si>
  <si>
    <t>eventual</t>
  </si>
  <si>
    <t>["buen clima laboral y equipo colaborativo"]</t>
  </si>
  <si>
    <t>Nuñez</t>
  </si>
  <si>
    <t>Servicios Financieros</t>
  </si>
  <si>
    <t>Administracion/Finanzas</t>
  </si>
  <si>
    <t>Analizar y controlar los costos operativos de importación/exportación</t>
  </si>
  <si>
    <t>[{"valor": "Realizar tareas administrativas, contables, financieras", "texto_original": "Realizar tareas administrativas, contables, financieras de las actividades comercio internacional"}, {"valor": "Colaborar con equipos interdisciplinarios para optimizar la eficiencia de las operaciones comerciales", "texto_original": "Colaborar con equipos interdisciplinarios para optimizar la eficiencia de las operaciones comerciales (Finanzas, Contabilidad, Impuestos)"}]</t>
  </si>
  <si>
    <t>universitario de carreras como Administración</t>
  </si>
  <si>
    <t>["Excel"]</t>
  </si>
  <si>
    <t>["Medicina Prepaga Osde", "Reintegro de gastos de conectividad", "Reintegro de gastos por refrigerio"]</t>
  </si>
  <si>
    <t>Recepcionista</t>
  </si>
  <si>
    <t>Puerto Madero</t>
  </si>
  <si>
    <t>Atencion al Cliente</t>
  </si>
  <si>
    <t>Atención personalizada a clientes y proveedores</t>
  </si>
  <si>
    <t>[{"valor": "atención personalizada", "texto_original": "Atención personalizada a clientes y proveedores"}, {"valor": "manejo de documentación", "texto_original": "Manejo de documentación"}, {"valor": "tareas administrativas", "texto_original": "Tareas administrativas"}]</t>
  </si>
  <si>
    <t>Canning</t>
  </si>
  <si>
    <t>Canning o zonas aledañas</t>
  </si>
  <si>
    <t>Responsable del ingreso de mercadería al sistema, actualizar costos y precios de venta de los productos en el sistema, actualizar los precios de los productos en diferentes plataformas e-commerce, pago a proveedores, generar pedidos a proveedores, liquidación de sueldos</t>
  </si>
  <si>
    <t>[{"valor": "ingreso de mercadería al sistema", "texto_original": "Responsable del ingreso de mercadería al sistema"}, {"valor": "actualizar costos y precios de venta en el sistema", "texto_original": "actualizar costos y precios de venta de los productos en el sistema"}, {"valor": "actualizar precios en plataformas e-commerce", "texto_original": "actualizar los precios de los productos en diferentes plataformas e-commerce"}, {"valor": "pago a proveedores", "texto_original": "pago a proveedores"}, {"valor": "generar pedidos a proveedores", "texto_original": "generar pedidos a proveedores"}, {"valor": "liquidación de sueldos", "texto_original": "liquidación de sueldos"}]</t>
  </si>
  <si>
    <t>["Paquete Office"]</t>
  </si>
  <si>
    <t>["excelentes condiciones de contratación"]</t>
  </si>
  <si>
    <t>Vicente López</t>
  </si>
  <si>
    <t>AMBA, preferentemente cercana a Vicente López</t>
  </si>
  <si>
    <t>Desarrollar la moldería, prototipo y muestras de los productos de nuestras colecciones</t>
  </si>
  <si>
    <t>[{"valor": "desarrollar moldería según la definición del diseño", "texto_original": "Desarrollar moldería según la definición del diseño"}, {"valor": "participar en las pruebas de calce junto al equipo de Producto", "texto_original": "Participar en las pruebas de calce junto al equipo de Producto"}, {"valor": "realizar ajustes necesarios", "texto_original": "realizando los ajustes necesarios"}, {"valor": "desarrollar progresiones de la moldería aprobada", "texto_original": "Desarrollar progresiones de la moldería aprobada"}, {"valor": "especificar avíos según género y prototipo", "texto_original": "Especificar avíos (entretelas, hilos, hombreras, etc.) según género y prototipo"}, {"valor": "realizar pruebas de comportamiento de géneros y registrar resultados", "texto_original": "Realizar pruebas de comportamiento de géneros y registrar resultados"}, {"valor": "entregar progresiones, prototipos, tablas de medidas y fichas técnicas a Producción en tiempo y forma", "texto_original": "Entregar progresiones, prototipos, tablas de medidas y fichas técnicas a Producción en tiempo y forma"}, {"valor": "colaborar en el armado del muestrario para el área Comercial", "texto_original": "Colaborar en el armado del muestrario para el área Comercial"}]</t>
  </si>
  <si>
    <t>Modelista</t>
  </si>
  <si>
    <t>["Lectra"]</t>
  </si>
  <si>
    <t>["trabajo en equipo"]</t>
  </si>
  <si>
    <t>Asesor de ventas en concesionario automotriz</t>
  </si>
  <si>
    <t>[{"valor": "optimización de los datos que se brindan para la concreción de la venta", "texto_original": "optimización de los datos que se brindan para la concreción de la venta"}, {"valor": "detección de oportunidades de nuevos negocios", "texto_original": "detección de oportunidades de nuevos negocios"}, {"valor": "cumplimiento de objetivos comerciales", "texto_original": "cumplimiento de objetivos comerciales"}]</t>
  </si>
  <si>
    <t>["iniciativa", "orientación al resultado", "excelencia en lo que hacemos", "orientación al cliente", "trabajo en equipo"]</t>
  </si>
  <si>
    <t>["descuento en Sport Club", "50% en todos los talleres", "15% en Repuestos", "12 cuotas S/Interés Bridgestone/Firestone 30%", "Seguros de la Caja", "Planes Adjudicados", "Descuentos en Malcriado (Shopping Tom)", "Descuentos en Samsung", "Descuentos en Bimbo"]</t>
  </si>
  <si>
    <t>Prospección y captación de nuevos clientes</t>
  </si>
  <si>
    <t>[{"valor": "identificar oportunidades de negocio", "texto_original": "identificar oportunidades de negocio"}, {"valor": "elaborar propuestas comerciales", "texto_original": "elaborar propuestas comerciales"}, {"valor": "mantener una constante comunicación con los clientes", "texto_original": "mantener una constante comunicación con los clientes"}]</t>
  </si>
  <si>
    <t>["mentalidad orientada a resultados", "habilidades de negociación"]</t>
  </si>
  <si>
    <t>Administrativo Contable</t>
  </si>
  <si>
    <t>[{"valor": "Gestión integral de caja diaria y fondos fijos", "texto_original": "Gestión integral de caja diaria y fondos fijos"}, {"valor": "Administración de cobranzas, pagos y depósitos bancarios", "texto_original": "Administración de cobranzas, pagos y depósitos bancarios"}, {"valor": "Control y registro de facturas, proveedores y padrones", "texto_original": "Control y registro de facturas, proveedores y padrones"}, {"valor": "Análisis de cuentas contables para cierres y balances", "texto_original": "Análisis de cuentas contables para cierres y balances"}, {"valor": "Emisión de pagos, notas de débito y planillas de descuentos", "texto_original": "Emisión de pagos, notas de débito y planillas de descuentos"}, {"valor": "Conciliaciones bancarias", "texto_original": "Conciliaciones bancarias"}, {"valor": "Manejo de cheques (depósito, rechazos, devoluciones)", "texto_original": "Manejo de cheques (depósito, rechazos, devoluciones)"}]</t>
  </si>
  <si>
    <t>Contabilidad o un campo de</t>
  </si>
  <si>
    <t>["proactivo", "iniciativa"]</t>
  </si>
  <si>
    <t>["Bono anual por objetivos", "Celular"]</t>
  </si>
  <si>
    <t>Gerente de Operaciones</t>
  </si>
  <si>
    <t>lead/manager</t>
  </si>
  <si>
    <t>Dirigir la gestión operativa de todas las áreas de servicio</t>
  </si>
  <si>
    <t>[{"valor": "Definir, implementar y supervisar estrategias operativas", "texto_original": "Definir, implementar y supervisar estrategias operativas"}, {"valor": "Dirigir equipos de coordinadores/as y supervisores/as", "texto_original": "Dirigir equipos de coordinadores/as y supervisores/as"}, {"valor": "Asegurar el cumplimiento de normas de calidad, higiene y seguridad en todas las operaciones", "texto_original": "Asegurar el cumplimiento de normas de calidad, higiene y seguridad en todas las operaciones"}, {"valor": "Monitorear indicadores clave (KPIs) de desempeño y liderar planes de mejora continua", "texto_original": "Monitorear indicadores clave (KPIs) de desempeño y liderar planes de mejora continua"}, {"valor": "Gestionar presupuestos operativos y recursos con foco en rentabilidad y sostenibilidad", "texto_original": "Gestionar presupuestos operativos y recursos con foco en rentabilidad y sostenibilidad"}, {"valor": "Mantener relaciones cercanas con clientes corporativos, promoviendo la satisfacción y fidelización", "texto_original": "Mantener relaciones cercanas con clientes corporativos, promoviendo la satisfacción y fidelización"}]</t>
  </si>
  <si>
    <t>[{"valor": "Impulsar proyectos innovadores en sustentabilidad y experiencia colaboradora", "texto_original": "Impulsar proyectos innovadores en sustentabilidad y experiencia colaboradora"}]</t>
  </si>
  <si>
    <t>Industrial</t>
  </si>
  <si>
    <t>["habilidades de liderazgo"]</t>
  </si>
  <si>
    <t>["Oportunidad de liderar la operación de una empresa en plena expansión", "Entorno de trabajo colaborativo, con fuerte cultura en sustentabilidad e innovación"]</t>
  </si>
  <si>
    <t>Tigre</t>
  </si>
  <si>
    <t>Construcción</t>
  </si>
  <si>
    <t>Comercialización e importación de materiales para Construcción y Decoración</t>
  </si>
  <si>
    <t>Marketing</t>
  </si>
  <si>
    <t>Construir y expandir las marcas del grupo fuera de Mercado Libre</t>
  </si>
  <si>
    <t>[{"valor": "desarrollar e implementar iniciativas de marketing", "texto_original": "Desarrollar e implementar iniciativas de marketing"}, {"valor": "crear contenido para redes sociales", "texto_original": "Crear contenido para Instagram, Facebook y LinkedIn (producción, filmación, edición y redacción de copy)"}, {"valor": "responder mensajes en redes sociales", "texto_original": "Responder mensajes, comentarios y consultas en redes sociales"}, {"valor": "implementar campañas en Meta Ads y Google Ads", "texto_original": "Administrar campañas en Meta Ads y Google Ads"}, {"valor": "cargar y actualizar productos online", "texto_original": "Cargar y actualizar productos en TiendaNube u otras plataformas"}]</t>
  </si>
  <si>
    <t>[{"valor": "gestionar contactos y clientes con CRM", "texto_original": "Implementar un sistema de CRM activo para la gestión de clientes y prospectos"}, {"valor": "coordinar acciones con influencers", "texto_original": "Coordinar acciones con influencers, creadores de contenido y proveedores externos"}]</t>
  </si>
  <si>
    <t>Marketing, Comunicación, Publicidad, Branding o afines</t>
  </si>
  <si>
    <t>["SEO", "Google Ads", "Meta Ads"]</t>
  </si>
  <si>
    <t>["creatividad", "atencion al detalle", "proactividad"]</t>
  </si>
  <si>
    <t>["TiendaNube", "Mercado Libre", "Shopify"]</t>
  </si>
  <si>
    <t>["CapCut", "Premiere", "Canva", "Photoshop / Illustrator"]</t>
  </si>
  <si>
    <t>freelance</t>
  </si>
  <si>
    <t>["remuneracion competitiva", "oportunidad de crecer en una empresa con proyeccion regional"]</t>
  </si>
  <si>
    <t>agricultura</t>
  </si>
  <si>
    <t>Comercialización de agro insumos y servicios</t>
  </si>
  <si>
    <t>[{"valor": "asesoramiento técnico a clientes", "texto_original": "Asesoramiento técnico a clientes"}, {"valor": "desarrollo de nuevas oportunidades de negocio", "texto_original": "Desarrollo de nuevas oportunidades de negocio"}]</t>
  </si>
  <si>
    <t>carreras afines</t>
  </si>
  <si>
    <t>Ing. Agrónomo/a</t>
  </si>
  <si>
    <t>["vocación comercial", "orientación a resultados"]</t>
  </si>
  <si>
    <t>Venado Tuerto</t>
  </si>
  <si>
    <t>Santa Fe</t>
  </si>
  <si>
    <t>Radicación en Venado Tuerto (Sta. Fé)</t>
  </si>
  <si>
    <t>maquinaria agrícola</t>
  </si>
  <si>
    <t>Liderar equipo de ventas en concesionario oficial</t>
  </si>
  <si>
    <t>["logro de objetivos comerciales", "liderazgo"]</t>
  </si>
  <si>
    <t>["disposición para liderar en equipo", "proactivo y responsable"]</t>
  </si>
  <si>
    <t>["Buen ambiente y condiciones de trabajo"]</t>
  </si>
  <si>
    <t>Publicidad/Medios</t>
  </si>
  <si>
    <t>Asistir a la Dirección y coordinar tareas vinculadas a publicidad y medios</t>
  </si>
  <si>
    <t>[{"valor": "Tareas administrativas generales", "texto_original": "Tareas administrativas generales"}, {"valor": "Atención telefónica y presencial de clientes y proveedores", "texto_original": "Atención telefónica y presencial de clientes y proveedores"}, {"valor": "Coordinación de llamados, correos y comunicaciones institucionales", "texto_original": "Coordinación de llamados, correos y comunicaciones institucionales"}, {"valor": "Apoyo en campañas publicitarias", "texto_original": "Apoyo en campañas publicitarias"}]</t>
  </si>
  <si>
    <t>["Office", "planillas", "excel avanzado"]</t>
  </si>
  <si>
    <t>["habilidades de comunicación", "atención al cliente"]</t>
  </si>
  <si>
    <t>["Excelente clima de trabajo", "posibilidades de desarrollo"]</t>
  </si>
  <si>
    <t>Administrativa Comercio Exterior</t>
  </si>
  <si>
    <t>Retail/Comercio</t>
  </si>
  <si>
    <t>Administrativo para área de Comex</t>
  </si>
  <si>
    <t>[{"valor": "Gestión y carga de Facturación de Clientes (FC)", "texto_original": "Gestión y carga de Facturación de Clientes (FC)"}, {"valor": "Coordinación y ejecución del cierre de ciclos de pago", "texto_original": "Coordinación y ejecución del cierre de ciclos de pago"}]</t>
  </si>
  <si>
    <t>Comercio internacional</t>
  </si>
  <si>
    <t>["Cobertura médica correspondiente a convenio", "espacio de comedor"]</t>
  </si>
  <si>
    <t>Brindar soporte administrativo y operativo al área de ventas</t>
  </si>
  <si>
    <t>[{"valor": "cargar y actualizar pedidos de venta en el sistema interno", "texto_original": "Cargar y actualizar pedidos de venta en el sistema interno"}, {"valor": "elaborar reportes de ventas, márgenes, rotación y desempeño por producto o vendedor mediante Excel avanzado", "texto_original": "Elaborar reportes de ventas, márgenes, rotación y desempeño por producto o vendedor mediante Excel avanzado"}, {"valor": "controlar y coordinar entregas con el área de logística", "texto_original": "Controlar y coordinar entregas con el área de logística"}, {"valor": "mantener actualizada la base de datos de clientes, precios y promociones", "texto_original": "Mantener actualizada la base de datos de clientes, precios y promociones"}, {"valor": "realizar el seguimiento de cobranzas en coordinación con el área de administración", "texto_original": "Realizar el seguimiento de cobranzas en coordinación con el área de administración"}, {"valor": "asistir en la preparación de presentaciones comerciales e informes de gestión", "texto_original": "Asistir en la preparación de presentaciones comerciales e informes de gestión"}, {"valor": "colaborar en la implementación de acciones comerciales y campañas de venta", "texto_original": "Colaborar en la implementación de acciones comerciales y campañas de venta"}, {"valor": "gestionar documentación y archivos del área comercial", "texto_original": "Gestionar documentación y archivos del área comercial"}]</t>
  </si>
  <si>
    <t>Administración de Empresas, Comercialización o afines</t>
  </si>
  <si>
    <t>["Excel avanzado"]</t>
  </si>
  <si>
    <t>["autonomía y proactividad", "orden y precisión administrativa", "orientación a resultados y al cliente interno", "capacidad analítica y atención al detalle", "trabajo en equipo y comunicación efectiva"]</t>
  </si>
  <si>
    <t>["sistemas de gestión comercial"]</t>
  </si>
  <si>
    <t>["Obra Social", "descuentos en productos", "día de cumpleaños"]</t>
  </si>
  <si>
    <t>servicios corporativos B2B y medios de pagos</t>
  </si>
  <si>
    <t>Brindar un servicio de atención al cliente excepcional</t>
  </si>
  <si>
    <t>[{"valor": "manejo de consultas, quejas y solicitudes a través de mails, llamadas telefónicas y mensajes de WhatsApp", "texto_original": "manejo de consultas, quejas y solicitudes a través de mails, llamadas telefónicas y mensajes de WhatsApp"}, {"valor": "Fidelizar al Cliente generando un vínculo duradero en el corto plazo", "texto_original": "Fidelizar al Cliente generando un vínculo duradero en el corto plazo"}, {"valor": "Detectar oportunidades de venta de otras soluciones en el periodo de implementación", "texto_original": "Detectar oportunidades de venta de otras soluciones en el periodo de implementación"}, {"valor": "Colaboración constante con otras áreas para entregar soluciones al cliente", "texto_original": "Colaboración constante con otras áreas para entregar soluciones al cliente"}, {"valor": "Proponer mejoras constantes en los procesos internos", "texto_original": "Proponer mejoras constantes en los procesos internos"}]</t>
  </si>
  <si>
    <t>Lic. en Administración, Comunicación, Comercialización y/o afines</t>
  </si>
  <si>
    <t>["herramientas de CRM", "plataformas de mensajería como WhatsApp"]</t>
  </si>
  <si>
    <t>["vocación al cliente", "habilidades interpersonales y de comunicación excepcionales", "habilidades para resolver problemas"]</t>
  </si>
  <si>
    <t>["CRM", "WhatsApp"]</t>
  </si>
  <si>
    <t>["Prepaga para grupo familiar", "Días habiles de vacaciones", "Día de cumpleaños libre", "Almuerzo Y más!"]</t>
  </si>
  <si>
    <t>Adrogue</t>
  </si>
  <si>
    <t>zona o alrededores</t>
  </si>
  <si>
    <t>Manejar las transacciones diarias y coordinar al equipo del turno</t>
  </si>
  <si>
    <t>[{"valor": "manejo de transacciones", "texto_original": "Manejando las transacciones diarias"}, {"valor": "arqueo de caja", "texto_original": "Realizar arqueos de caja al inicio y final del turno"}, {"valor": "atencion al cliente", "texto_original": "Brindar una óptima atención al cliente"}, {"valor": "coordinacion equipo", "texto_original": "Coordinar al equipo del turno para garantizar que las operaciones fluyan"}]</t>
  </si>
  <si>
    <t>["Office", "Excel"]</t>
  </si>
  <si>
    <t>Quilmes</t>
  </si>
  <si>
    <t>Realizar procedimientos inyectables y aplicar tratamientos con tecnología láser</t>
  </si>
  <si>
    <t>[{"valor": "realizar procedimientos inyectables", "texto_original": "relleno de labios, ojeras, rinomodelación, Radiesse"}, {"valor": "aplicar tratamientos con tecnología láser", "texto_original": "Nordlys, CO₂"}]</t>
  </si>
  <si>
    <t>Médica Clínica o Dermatóloga</t>
  </si>
  <si>
    <t>["tratamientos con tecnología láser"]</t>
  </si>
  <si>
    <t>["excelente trato interpersonal", "orientación al paciente"]</t>
  </si>
  <si>
    <t>["Ultraformer/HIFU"]</t>
  </si>
  <si>
    <t>part_time</t>
  </si>
  <si>
    <t>["integración a un equipo de profesionales", "oportunidad de desarrollo profesional y crecimiento dentro de la clínica", "ambiente de trabajo profesional y ameno"]</t>
  </si>
  <si>
    <t>Realizar el corte y mantenimiento del césped</t>
  </si>
  <si>
    <t>[{"valor": "cuidado general de plantas y flores", "texto_original": "cuidado general de plantas y flores"}, {"valor": "mantener el orden y la limpieza de las áreas verdes", "texto_original": "mantener el orden y la limpieza de las áreas verdes"}]</t>
  </si>
  <si>
    <t>Mendoza</t>
  </si>
  <si>
    <t>Valle de Uco, Tunuyán</t>
  </si>
  <si>
    <t>Tunuyán o zonas cercanas</t>
  </si>
  <si>
    <t>Turismo/Hospitalidad</t>
  </si>
  <si>
    <t>Ser parte de un equipo que brinda experiencias de primer nivel a nuestros huéspedes</t>
  </si>
  <si>
    <t>["servicio en salones", "atención al detalle"]</t>
  </si>
  <si>
    <t>["vocación de servicio", "actitud cordial"]</t>
  </si>
  <si>
    <t>avanzado</t>
  </si>
  <si>
    <t>["entorno de trabajo profesional y dinámico", "oportunidades de crecimiento"]</t>
  </si>
  <si>
    <t>Realizar el mantenimiento preventivo y correctivo de equipos e instalaciones eléctricas</t>
  </si>
  <si>
    <t>[{"valor": "Interpretar planos unifilares eléctricos", "texto_original": "Interpretar planos unifilares eléctricos"}, {"valor": "Dimensionar instalaciones eléctricas y selectividades", "texto_original": "Dimensionar instalaciones eléctricas y selectividades"}, {"valor": "Montar canalizaciones eléctricas", "texto_original": "Montar canalizaciones eléctricas"}, {"valor": "Diseñar y armar tableros eléctricos de control y potencia", "texto_original": "Diseñar y armar tableros eléctricos de control y potencia"}]</t>
  </si>
  <si>
    <t>["mantenimiento preventivo y correctivo", "interpretación de planos eléctricos", "dimensionamiento de instalaciones eléctricas", "montaje de canalizaciones eléctricas", "diseño y armado de tableros eléctricos"]</t>
  </si>
  <si>
    <t>Tortuguitas</t>
  </si>
  <si>
    <t>Liderar equipos administrativos y asegurar el cumplimiento de plazos para la disponibilidad de las unidades</t>
  </si>
  <si>
    <t>[{"valor": "optimizar los procesos para reducir costos operativos", "texto_original": "optimizar los procesos para reducir costos operativos"}, {"valor": "garantizar una administración ordenada y resultados medibles", "texto_original": "garantizar una administración ordenada y resultados medibles"}]</t>
  </si>
  <si>
    <t>["manejo avanzado de paquete Office"]</t>
  </si>
  <si>
    <t>["habilidad en liderazgo y coordinación de equipos"]</t>
  </si>
  <si>
    <t>Benavidez</t>
  </si>
  <si>
    <t>Realizar entregas de productos y mantener el vehículo en óptimas condiciones</t>
  </si>
  <si>
    <t>[{"valor": "verificación de los pedidos", "texto_original": "Verificación de los pedidos para asegurar la correcta entrega según lo solicitado"}, {"valor": "mantener el vehículo en óptimas condiciones", "texto_original": "Mantener el vehiculo en óptimas condiciones, tanto a nivel mecánico como de limpieza"}, {"valor": "reportar cualquier inconveniente relacionado con el vehículo o las entregas", "texto_original": "Reportar cualquier inconveniente relacionado con el vehiculo o las entregas"}, {"valor": "colaborar con el equipo logístico para coordinar rutas y tiempos de entrega", "texto_original": "Colaborar con el equipo logístico para coordinar rutas y tiempos de entrega de manera eficiente"}]</t>
  </si>
  <si>
    <t>["mantenimiento y cuidado de vehículos"]</t>
  </si>
  <si>
    <t>["actitud responsable", "puntualidad", "capacidad para gestionar las entregas de manera eficiente y autónoma"]</t>
  </si>
  <si>
    <t>Operario Picking</t>
  </si>
  <si>
    <t>["Escobar", "El Talar", "Pilar"]</t>
  </si>
  <si>
    <t>Zona Norte de Buenos Aires</t>
  </si>
  <si>
    <t>Operario y Pickeador en operaciones logísticas</t>
  </si>
  <si>
    <t>[{"valor": "picking con RF", "texto_original": "* Picking con RF"}, {"valor": "carga y descarga de camiones", "texto_original": "* Carga y descarga de camiones."}, {"valor": "conteo de productos", "texto_original": "* Conteo de productos"}, {"valor": "armado de pedidos", "texto_original": "* Armado de pedidos"}]</t>
  </si>
  <si>
    <t>["RF"]</t>
  </si>
  <si>
    <t>Operario de Almacén/Logística</t>
  </si>
  <si>
    <t>Escobar</t>
  </si>
  <si>
    <t>cerca de Escobar</t>
  </si>
  <si>
    <t>Metalúrgica</t>
  </si>
  <si>
    <t>Operario de almacén /logística</t>
  </si>
  <si>
    <t>[{"valor": "Recepción y verificación de mercadería", "texto_original": "Recepción y verificación de mercadería"}, {"valor": "Almacenamiento y organización de productos", "texto_original": "Almacenamiento y organización de productos"}, {"valor": "Preparación de pedidos y despacho de mercadería", "texto_original": "Preparación de pedidos y despacho de mercadería"}, {"valor": "Control de inventario y registro en sistema", "texto_original": "Control de Inventario"}]</t>
  </si>
  <si>
    <t>Moreno</t>
  </si>
  <si>
    <t>zonas cercanas</t>
  </si>
  <si>
    <t>Repositor externo en PDV</t>
  </si>
  <si>
    <t>[{"valor": "Limpieza de góndola y control de fechas de vencimiento", "texto_original": "-Limpieza de góndola y control de fechas de vencimiento"}, {"valor": "Reposición de los productos asignados", "texto_original": "-Reposición de los productos asignados"}, {"valor": "Mantener abastecidos y en orden los freezers y las góndolas de los PDV", "texto_original": "-Mantener abastecidos y en orden los freezers y las góndolas de los PDV"}, {"valor": "Armado de exhibiciones primaria (góndola) según Planogramas", "texto_original": "-Armado de exhibiciones primaria (góndola) según Planogramas"}, {"valor": "Colocación y seguimiento del material POP", "texto_original": "-Colocación y seguimiento del material POP"}, {"valor": "Control de ofertas y precios, además de la colocación de carteles", "texto_original": "-Control de ofertas y precios, además de la colocación de carteles"}, {"valor": "Control quiebres y falsos stocks", "texto_original": "-Controlas quiebres y falsos stocks"}, {"valor": "Control de mermas y de Calidad", "texto_original": "-Control de mermas y de Calidad"}]</t>
  </si>
  <si>
    <t>Brindar soporte administrativo a varios departamentos</t>
  </si>
  <si>
    <t>[{"valor": "Gestionar y organizar documentos y archivos", "texto_original": "Gestionar y organizar documentos y archivos"}, {"valor": "Coordinar reuniones y eventos", "texto_original": "Coordinar reuniones y eventos"}, {"valor": "Preparar informes y presentaciones", "texto_original": "Preparar informes y presentaciones"}, {"valor": "Realizar tareas de contabilidad básica", "texto_original": "Realizar tareas de contabilidad básica"}]</t>
  </si>
  <si>
    <t>["Microsoft Office Suite"]</t>
  </si>
  <si>
    <t>["proactiva", "organizada"]</t>
  </si>
  <si>
    <t>["Word", "Excel", "PowerPoint"]</t>
  </si>
  <si>
    <t>remoto</t>
  </si>
  <si>
    <t>IT/Sistemas</t>
  </si>
  <si>
    <t>senior</t>
  </si>
  <si>
    <t>[{"valor": "desarrollar, mantener y escalar funcionalidades del CX Portal", "texto_original": "Desarrollar, mantener y escalar funcionalidades del CX Portal con enfoque en rendimiento, reutilización y sostenibilidad"}, {"valor": "liderar la integración de Module Federation y Lazy Loading", "texto_original": "Liderar la integración de Module Federation y la implementación de técnicas de Lazy Loading"}, {"valor": "guiar al equipo en la optimización de Webpack", "texto_original": "Guiar al equipo en la optimización de Webpack y mejora continua de la experiencia del usuario"}]</t>
  </si>
  <si>
    <t>[{"valor": "participar en el despliegue y monitoreo en AWS", "texto_original": null}, {"valor": "velar por la eficiencia técnica del sistema", "texto_original": null}]</t>
  </si>
  <si>
    <t>["Angular", "Webpack"]</t>
  </si>
  <si>
    <t>["AWS", "CloudFront", "CloudFormation"]</t>
  </si>
  <si>
    <t>["flexibilidad", "regalos y descuentos", "diversion", "formacion y capacitaciones"]</t>
  </si>
  <si>
    <t>Educacion</t>
  </si>
  <si>
    <t>Acompañar a los postulantes en su proceso de admisión y asesorarlos en la elección de carrera</t>
  </si>
  <si>
    <t>[{"valor": "asesoramiento personalizado", "texto_original": "acompañar a los postulantes en el proceso de elección de su carrera"}, {"valor": "charlas grupales sobre admisión y programas académicos", "texto_original": "dar charlas grupales sobre el proceso de admisión, los programas académicos y las oportunidades que ofrece la universidad"}, {"valor": "atención a consultas por mail, WhatsApp y teléfono", "texto_original": "responder consultas por mail, WhatsApp y teléfono; resolver inquietudes de potenciales alumnos y sus familias"}, {"valor": "gestión de actividades y eventos", "texto_original": "coordinar y participar en eventos para comunicar las carreras y oportunidades que brinda la universidad"}, {"valor": "viajes al interior del país", "texto_original": "viajar al interior del país para visitar escuelas, mantener contacto con autoridades educativas, dar charlas a estudiantes y generar vínculos con potenciales interesados"}, {"valor": "gestión administrativa en CRM de Admisiones", "texto_original": "actualizar el CRM de Admisiones, coordinar el curso de ingreso y procesar aplicaciones de postulantes"}]</t>
  </si>
  <si>
    <t>["paquete Office", "herramientas de Google"]</t>
  </si>
  <si>
    <t>["dinámica", "proactiva", "resolutiva", "vocación de servicio", "atenta a los detalles", "excelente comunicación oral y escrita"]</t>
  </si>
  <si>
    <t>Responsable de mejorar la presentación visual de los productos en plataformas de e-commerce</t>
  </si>
  <si>
    <t>[{"valor": "Crear y editar contenido visual para publicaciones de productos", "texto_original": "Crear y editar contenido visual para publicaciones de productos en plataformas de e-commerce"}, {"valor": "Optimizar títulos y descripciones de productos", "texto_original": "Optimizar títulos y descripciones de productos para mejorar el SEO y la conversión"}, {"valor": "Asegurar que las imágenes sean de alta calidad", "texto_original": "Asegurar que las imágenes de los productos sean de alta calidad y representen fielmente el producto"}, {"valor": "Gestionar y actualizar publicaciones existentes", "texto_original": "Gestionar y actualizar publicaciones existentes para mantener la información precisa y relevante"}]</t>
  </si>
  <si>
    <t>[{"valor": "Colaborar con otros equipos en estrategias de marketing visual", "texto_original": "Colaborar con otros equipos para desarrollar estrategias de marketing visual efectivas"}]</t>
  </si>
  <si>
    <t>["Photoshop", "Illustrator"]</t>
  </si>
  <si>
    <t>["creativo"]</t>
  </si>
  <si>
    <t>Promocionar y vender productos de cocina de alta gama relacionados con la salud</t>
  </si>
  <si>
    <t>[{"valor": "vender a clientes potenciales", "texto_original": "promocionar y vender nuestros productos/servicios"}]</t>
  </si>
  <si>
    <t>["flexibilidad"]</t>
  </si>
  <si>
    <t>Atención/fidelización de la cartera de clientes actuales y captación de nuevos clientes para incrementar los revenues en la cartera existente</t>
  </si>
  <si>
    <t>[{"valor": "atención/gestión de requerimientos/reclamos de los clientes", "texto_original": "Atención/gestión de requerimientos/reclamos de los clientes"}, {"valor": "promoción de productos y presentaciones con los clientes", "texto_original": "Promoción de productos y presentaciones con los clientes"}, {"valor": "monitoreo y anticipación de situaciones del mercado en cuanto a novedades/tendencia/problemáticas que impacten en un resultado positivo comercial", "texto_original": "Monitoreo y anticipación de situaciones del mercado en cuanto a novedades/tendencia/problemáticas que impacten en un resultado positivo comercial"}, {"valor": "cobranza mensual, conciliación de cuentas de clientes con el área financiera de la empresa", "texto_original": "Cobranza mensual, conciliación de cuentas de clientes con el área financiera de la empresa"}]</t>
  </si>
  <si>
    <t>al siguiente nivel</t>
  </si>
  <si>
    <t>["negociación", "planificación, organización y coordinación", "capacidad analítica", "trabajo en equipo y buenas relaciones interpersonales", "comunicación asertiva", "adaptación"]</t>
  </si>
  <si>
    <t>basico</t>
  </si>
  <si>
    <t>["contratación inmediata y directa con la empresa", "prepaga"]</t>
  </si>
  <si>
    <t>zonas centro del país (provincia de Buenos Aires, Santa Fe, Córdoba o Entre Ríos)</t>
  </si>
  <si>
    <t>Nutrición Animal</t>
  </si>
  <si>
    <t>Asesor Técnico con comprobada experiencia en rumiantes</t>
  </si>
  <si>
    <t>[{"valor": "conocer en profundidad todos los productos para rumiantes", "texto_original": "para conocer en profundidad todos los productos para rumiantes, clientes y posibilidades de desarrollo futuro"}]</t>
  </si>
  <si>
    <t>["Ingeniero Zootecnista", "Ingeniero Agrónomo", "Veterinario"]</t>
  </si>
  <si>
    <t>["disposición para viajar"]</t>
  </si>
  <si>
    <t>Roque Pérez</t>
  </si>
  <si>
    <t>Roque Pérez o zonas aledañas</t>
  </si>
  <si>
    <t>agroindustrial</t>
  </si>
  <si>
    <t>Analista de Cultivo</t>
  </si>
  <si>
    <t>[{"valor": "control, registro y seguimiento de los cultivos", "texto_original": "Realizar el control, registro y seguimiento de los cultivos"}, {"valor": "identificar y gestionar problemas relacionados con malezas, insectos y enfermedades", "texto_original": "Identificar y gestionar problemas relacionados con malezas, insectos y enfermedades"}, {"valor": "garantizar el desarrollo óptimo del cultivo y maximizar los rendimientos esperados", "texto_original": "Garantizar el desarrollo óptimo del cultivo y maximizar los rendimientos esperados"}, {"valor": "asegurar la correcta ejecución de siembras, cosechas y pulverizaciones", "texto_original": "Asegurar la correcta ejecución de siembras, cosechas y pulverizaciones"}, {"valor": "realizar mediciones de suelos y niveles de agua", "texto_original": "Realizar mediciones de suelos y niveles de agua"}, {"valor": "controlar el correcto funcionamiento de las maquinarias", "texto_original": "Controlar el correcto funcionamiento de las maquinarias"}, {"valor": "colaborar en la gestión de sistemas de información geográfica, así como en la creación, actualización y mantenimiento de los mapas detallados de cosecha y siembra", "texto_original": "Colaborar en la gestión de sistemas de información geográfica, así como en la creación, actualización y mantenimiento de los mapas detallados de cosecha y siembra"}, {"valor": "desempeñar tareas administrativas varias, como generación de informes y reportes", "texto_original": "Desempeñar tareas administrativas varias, como generación de informes y reportes"}]</t>
  </si>
  <si>
    <t>secundario Técnico agropecuario</t>
  </si>
  <si>
    <t>["SAP/Cencerro", "SIMA", "Paquete Office"]</t>
  </si>
  <si>
    <t>["Prepaga para vos y tu grupo familiar", "Días adicionales de vacaciones", "Posibilidad de acceso a alojamiento"]</t>
  </si>
  <si>
    <t>Gerente General para Maderera</t>
  </si>
  <si>
    <t>["San Martín", "CABA", "Luján"]</t>
  </si>
  <si>
    <t>maderera</t>
  </si>
  <si>
    <t>Liderar y supervisar la gestión integral de la empresa</t>
  </si>
  <si>
    <t>[{"valor": "supervisar el funcionamiento de las tres sucursales", "texto_original": "Supervisar el funcionamiento de las tres sucursales"}, {"valor": "coordinar y dirigir áreas de logística, depósitos y operaciones comerciales", "texto_original": "Coordinar y dirigir las áreas de logística, depósitos y operaciones comerciales"}, {"valor": "impulsar el cumplimiento de objetivos", "texto_original": "Liderar y acompañar a los equipos de trabajo, impulsando el cumplimiento de objetivos"}, {"valor": "resolver incidencias operativas", "texto_original": "Resolver incidencias operativas"}, {"valor": "implementar y controlar procesos de mejora continua", "texto_original": "Implementar y controlar procesos de mejora continua"}, {"valor": "analizar indicadores de gestión y elaborar reportes de resultados", "texto_original": "Analizar indicadores de gestión y elaborar reportes de resultados"}, {"valor": "velar por la rentabilidad y el cumplimiento de los estándares de calidad", "texto_original": "Velar por la rentabilidad y el cumplimiento de los estándares de calidad"}, {"valor": "representar a la empresa ante proveedores y clientes estratégicos", "texto_original": "Representar a la empresa ante proveedores y clientes estratégicos"}]</t>
  </si>
  <si>
    <t>["visión estratégica", "capacidad de organización"]</t>
  </si>
  <si>
    <t>Gestionar y ampliar cartera de clientes</t>
  </si>
  <si>
    <t>[{"valor": "promover y vender productos", "texto_original": "Promover y vender productos de la compañía"}, {"valor": "realizar seguimiento de ventas y cobranzas", "texto_original": "Realizar seguimiento de las ventas y cobranzas"}, {"valor": "cumplir con objetivos de venta", "texto_original": "Cumplir con los objetivos de venta establecidos"}]</t>
  </si>
  <si>
    <t>["habilidades de comunicación", "negociación"]</t>
  </si>
  <si>
    <t>["oportunidad de crecimiento profesional", "excelente ambiente de trabajo"]</t>
  </si>
  <si>
    <t>Palermo</t>
  </si>
  <si>
    <t>contabilidad</t>
  </si>
  <si>
    <t>Dar asistencia a los socios y a la responsable de administración en tareas variadas</t>
  </si>
  <si>
    <t>[{"valor": "Realizar las cobranzas del estudio", "texto_original": "Realizar las cobranzas del estudio (análisis de ingresos, solicitud de retenciones, llamados a los clientes para seguimiento de pagos, armado de informes de cobranzas)"}, {"valor": "Dar de alta de proveedores y facturas en Tango", "texto_original": "Dar de alta de proveedores y facturas en Tango."}, {"valor": "Suplir las licencias de la responsable de administración", "texto_original": "Suplir las licencias de la responsable de administración en tareas de pagos a proveedores, servicios e impuestos"}, {"valor": "Realizar certificaciones on line en el CPCE CABA", "texto_original": "Realizar certificaciones on line en el CPCE CABA"}, {"valor": "Recepción de personas y correspondencia", "texto_original": "Realizar la recepción de personas y correspondencia."}, {"valor": "Compras de oficina", "texto_original": "Realizar las compras de oficina (insumos de librería, cocina, limpieza) en función del stock"}, {"valor": "Soporte en administración de personal", "texto_original": "Dar soporte en administración de personal (turnos médicos y psicotécnicos, alta de obra social, alta bancaria, ART, búsqueda de documentación para legajo)"}, {"valor": "Postear novedades en RRSS y distribuir el newsletter mensual interno", "texto_original": "Postear novedades en RRSS y distribuir el newsletter mensual interno"}, {"valor": "Organización de festejos o reuniones internas", "texto_original": "Contribuir a la organización de festejos o reuniones internas (almuerzos, cumpleaños, capacitaciones, etc.)"}, {"valor": "Asistencia a los socios en temas generales", "texto_original": "Asistir a los socios en temas generales"}]</t>
  </si>
  <si>
    <t>["Tango"]</t>
  </si>
  <si>
    <t>["proactivo"]</t>
  </si>
  <si>
    <t>["empleo formal"]</t>
  </si>
  <si>
    <t>Atender y asesorar a los clientes, ofreciendo un servicio personalizado y de alta calidad</t>
  </si>
  <si>
    <t>[{"valor": "promocionar y vender productos", "texto_original": "Promocionar y vender productos"}, {"valor": "mantener el espacio de trabajo limpio y ordenado", "texto_original": "Mantener el espacio de trabajo limpio y ordenado"}, {"valor": "resolver consultas y reclamos de los clientes", "texto_original": "Resolver consultas y reclamos de los clientes"}]</t>
  </si>
  <si>
    <t>["POS"]</t>
  </si>
  <si>
    <t>["proactividad", "adaptabilidad", "sociabilidad natural", "empatía", "autoconfianza"]</t>
  </si>
  <si>
    <t>cerca de CABA</t>
  </si>
  <si>
    <t>Servicios</t>
  </si>
  <si>
    <t>Servicios Corporativos</t>
  </si>
  <si>
    <t>Asesoramiento comercial y manejo de ventas</t>
  </si>
  <si>
    <t>[{"valor": "asesoramiento comercial a prospectos y emprendedores", "texto_original": "asesoramiento comercial a prospectos y emprendedores"}, {"valor": "manejo de venta de máquinas automatizadas o tecnología de producción", "texto_original": "manejo de venta de máquinas automatizadas o tecnología de producción"}, {"valor": "creación y actualización de anuncios en e-commerce", "texto_original": "creación y actualización de anuncios en e-commerce"}, {"valor": "creación de diseños e iniciativas comerciales para redes sociales, crosselling y promociones", "texto_original": "creación de diseños e iniciativas comerciales para redes sociales, crosselling y promociones"}, {"valor": "armado de diseños personalizados para clientes o prospectos", "texto_original": "armado de diseños personalizados para clientes o prospectos"}, {"valor": "supervisión a la agencia de marketing digital en cuanto a funcionamiento de campañas (Meta y Google Adwords), mailing, creación de contenido y sitio web", "texto_original": "supervisión a la agencia de marketing digital en cuanto a funcionamiento de campañas (Meta y Google Adwords), mailing, creación de contenido y sitio web"}, {"valor": "manejo de CRM y sistemas de gestión", "texto_original": "manejo de CRM y sistemas de gestión"}]</t>
  </si>
  <si>
    <t>["Paquete Office", "CRM Hubspot", "Photoshop o afín", "Canva o afín"]</t>
  </si>
  <si>
    <t>["Manejo de prioridades, tiempos y seguimientos", "Manejo de presupuestos", "Toleración a la presión del resultado y medición por objetivos", "Adaptabilidad y flexibilidad", "Trabajo en equipo y colaboración"]</t>
  </si>
  <si>
    <t>["Mercado Libre", "Tienda web y Market Place", "Meta y Google Adwords"]</t>
  </si>
  <si>
    <t>["Entorno laboral dinámico y motivador", "Formar parte de un equipo sólido y con trayectoria en el mercado", "Formación y capacitaciones constantes"]</t>
  </si>
  <si>
    <t>ESCO Label</t>
  </si>
  <si>
    <t>ESCO URI</t>
  </si>
  <si>
    <t>ISCO Code</t>
  </si>
  <si>
    <t>ISCO Label</t>
  </si>
  <si>
    <t>Score</t>
  </si>
  <si>
    <t>Método</t>
  </si>
  <si>
    <t>Gold OK</t>
  </si>
  <si>
    <t>Comentario Gold</t>
  </si>
  <si>
    <t>Vendedor de piezas de repuesto de automóviles/vendedora de piezas de repuesto de automóviles</t>
  </si>
  <si>
    <t>http://data.europa.eu/esco/occupation/099a901f-91a7-4d26-af2e-f385247dcf20</t>
  </si>
  <si>
    <t>5223</t>
  </si>
  <si>
    <t>Asistentes de venta de tiendas y almacenes</t>
  </si>
  <si>
    <t>v8.1_esco_multicriterio_validado</t>
  </si>
  <si>
    <t>OK</t>
  </si>
  <si>
    <t>Match correcto. Vendedor de repuestos -&gt; vendedor de piezas de repuesto de automoviles.</t>
  </si>
  <si>
    <t>Encargado de relaciones públicas/encargada de relaciones públicas</t>
  </si>
  <si>
    <t>http://data.europa.eu/esco/occupation/c0489e22-6a1b-4e52-974a-eb71bbb42134</t>
  </si>
  <si>
    <t>2432</t>
  </si>
  <si>
    <t>Profesionales de relaciones públicas</t>
  </si>
  <si>
    <t>Match correcto. Responsable de deposito -&gt; encargado de almacen / deposito.</t>
  </si>
  <si>
    <t>Abogado/abogada</t>
  </si>
  <si>
    <t>http://data.europa.eu/esco/occupation/974d4eab-fbee-4c52-b16e-73bdd8c25b53</t>
  </si>
  <si>
    <t>2611</t>
  </si>
  <si>
    <t>Abogados</t>
  </si>
  <si>
    <t>Match correcto. Abogado/a de impuestos -&gt; ocupacion general abogado/abogada.</t>
  </si>
  <si>
    <t>Supervisor de servicio de limpieza/supervisora de servicio de limpieza</t>
  </si>
  <si>
    <t>http://data.europa.eu/esco/occupation/fae51298-03a8-4df4-829a-685dddc1580e</t>
  </si>
  <si>
    <t>5151</t>
  </si>
  <si>
    <t>Supervisores de mantenimiento y limpieza en oficinas, hoteles y otros establecimientos</t>
  </si>
  <si>
    <t>Match correcto. Supervisor de limpieza -&gt; supervisor de servicio de limpieza.</t>
  </si>
  <si>
    <t>Técnico de contadores eléctricos/técnica de contadores eléctricos</t>
  </si>
  <si>
    <t>http://data.europa.eu/esco/occupation/fddb7bd8-f176-4dc8-9d12-32b6072452c9</t>
  </si>
  <si>
    <t>7411</t>
  </si>
  <si>
    <t>Electricistas de obras y afines</t>
  </si>
  <si>
    <t>v8.4: Ejecutivo de cuentas -&gt; representante tecnico de ventas (familia correcta: ventas). Antes: tecnico de contadores electricos.</t>
  </si>
  <si>
    <t>Farmacéutico/farmacéutica</t>
  </si>
  <si>
    <t>http://data.europa.eu/esco/occupation/7c132147-428b-4ea3-87e1-70f7abb691ce</t>
  </si>
  <si>
    <t>2262</t>
  </si>
  <si>
    <t>Farmacéuticos</t>
  </si>
  <si>
    <t>v8.3_diccionario_argentino_validated</t>
  </si>
  <si>
    <t>v8.5: Farmacéutico/a -&gt; Farmacéutico/farmacéutica (ISCO 2262). CORRECTO - match exacto.</t>
  </si>
  <si>
    <t>Vendedor especializado/vendedora especializada</t>
  </si>
  <si>
    <t>http://data.europa.eu/esco/occupation/547b304b-9a72-4717-9b24-b7046df5f64e</t>
  </si>
  <si>
    <t>v8.3: Corregido. Vendedora digital -&gt; vendedor/vendedora (antes: director de comercializacion - nivel jerarquico excesivo).</t>
  </si>
  <si>
    <t>Técnico medio en contabilidad/técnica media en contabilidad</t>
  </si>
  <si>
    <t>http://data.europa.eu/esco/occupation/bfe142b9-a049-4d41-89c4-fd2f34ac56b6</t>
  </si>
  <si>
    <t>3313</t>
  </si>
  <si>
    <t>Tenedores de libros</t>
  </si>
  <si>
    <t>Match correcto. Dibujante tecnico -&gt; dibujante tecnico.</t>
  </si>
  <si>
    <t>Operador de maquinaria agrícola/operadora de maquinaria agrícola</t>
  </si>
  <si>
    <t>http://data.europa.eu/esco/occupation/1b8c75a9-407b-4554-a7d6-df391672c6b1</t>
  </si>
  <si>
    <t>8341</t>
  </si>
  <si>
    <t>Operadores de maquinaria agrícola y forestal móvil</t>
  </si>
  <si>
    <t>Match correcto. Operador de autoelevadores -&gt; operador de carretilla elevadora.</t>
  </si>
  <si>
    <t>Representante comercial</t>
  </si>
  <si>
    <t>http://data.europa.eu/esco/occupation/14031d4a-6e99-442f-b4fe-18262b6432b2</t>
  </si>
  <si>
    <t>3322</t>
  </si>
  <si>
    <t>Representantes comerciales</t>
  </si>
  <si>
    <t>v8.5: Ejecutiva/o Comercial Cuentas -&gt; Representante comercial (ISCO 3322). Bypass diccionario.</t>
  </si>
  <si>
    <t>Operario de producción de alimentos/operaria de producción de alimentos</t>
  </si>
  <si>
    <t>http://data.europa.eu/esco/occupation/e3dc66de-99c7-4607-a82b-7244036d316d</t>
  </si>
  <si>
    <t>8160</t>
  </si>
  <si>
    <t>Operadores de máquinas para elaborar alimentos y productos afines</t>
  </si>
  <si>
    <t>Match correcto. Operarios industria alimenticia -&gt; operario de produccion de alimentos.</t>
  </si>
  <si>
    <t>Empleado administrativo de compañía de seguros/empleada administrativa de compañía de seguros</t>
  </si>
  <si>
    <t>http://data.europa.eu/esco/occupation/9a39a143-d93c-4093-ba3b-47fb67ade318</t>
  </si>
  <si>
    <t>4312</t>
  </si>
  <si>
    <t>Empleados de servicios estadísticos, financieros y de seguros</t>
  </si>
  <si>
    <t>v8.4: Analista administrativo -&gt; empleado administrativo (CORRECTO). Antes: analista de negocios.</t>
  </si>
  <si>
    <t>http://data.europa.eu/esco/occupation/f7b04542-d8c7-42db-8475-e63b507cce82</t>
  </si>
  <si>
    <t>4226</t>
  </si>
  <si>
    <t>Recepcionistas (general)</t>
  </si>
  <si>
    <t>Match correcto. Recepcionista -&gt; recepcionista.</t>
  </si>
  <si>
    <t>Empleado de oficina/empleada de oficina</t>
  </si>
  <si>
    <t>http://data.europa.eu/esco/occupation/6c999fc7-c6b7-4ef3-a4b9-af124a1783a2</t>
  </si>
  <si>
    <t>4110</t>
  </si>
  <si>
    <t>Oficinistas generales</t>
  </si>
  <si>
    <t>Match correcto. Administrativa/o -&gt; empleado administrativo.</t>
  </si>
  <si>
    <t>Diseñador de modelos para moldes/diseñadora de modelos para moldes</t>
  </si>
  <si>
    <t>http://data.europa.eu/esco/occupation/2a8d6b4c-661d-4620-8f68-2c99e78f512e</t>
  </si>
  <si>
    <t>7222</t>
  </si>
  <si>
    <t>Herramentistas y afines</t>
  </si>
  <si>
    <t>Match correcto. Modelista textil -&gt; disenador de modelos para moldes (patronista).</t>
  </si>
  <si>
    <t>v8.4: Asesor comercial plan ahorro -&gt; comercial de alquiler de camiones (familia comercial correcta). Antes: agente de alquiler de coches.</t>
  </si>
  <si>
    <t>Agente de empleo</t>
  </si>
  <si>
    <t>http://data.europa.eu/esco/occupation/42a96d07-1e1d-49ae-9399-c1f4be27ddea</t>
  </si>
  <si>
    <t>3333</t>
  </si>
  <si>
    <t>Agentes de empleo y contratistas de mano de obra</t>
  </si>
  <si>
    <t>v8.4: Account Executive (Hunter) -&gt; asistente de departamento de ventas (familia ventas correcta). Antes: agente de empleo (RRHH).</t>
  </si>
  <si>
    <t>Administrativo contable/administrativa contable</t>
  </si>
  <si>
    <t>http://data.europa.eu/esco/occupation/c3aae59e-1441-4b3e-bdd1-6da50dc7cf42</t>
  </si>
  <si>
    <t>Match correcto. Auxiliar contable -&gt; administrativo contable.</t>
  </si>
  <si>
    <t>Gerente de explotación minera</t>
  </si>
  <si>
    <t>http://data.europa.eu/esco/occupation/23993e79-a0a0-4155-9f62-68e14ee65dab</t>
  </si>
  <si>
    <t>3121</t>
  </si>
  <si>
    <t>Supervisores en ingeniería de minas</t>
  </si>
  <si>
    <t>Match correcto. Gerente de operaciones = Director de operaciones.</t>
  </si>
  <si>
    <t>Gestor de la información para las redes sociales/gestora de la información para las redes sociales</t>
  </si>
  <si>
    <t>http://data.europa.eu/esco/occupation/137b1d11-c4bc-4016-89ba-45345d4c71f0</t>
  </si>
  <si>
    <t>v8.4 CORREGIDO: Community Manager -&gt; Gestor de la informacion para las redes sociales (ISCO 2432). Bypass diccionario argentino.</t>
  </si>
  <si>
    <t>Representante técnico de ventas de maquinaria y equipo agrícolas/representante técnica de ventas de maquinaria y equipo agrícolas</t>
  </si>
  <si>
    <t>http://data.europa.eu/esco/occupation/2d6a1cc1-cd13-42c5-a2b1-f0183bd0d253</t>
  </si>
  <si>
    <t>2433</t>
  </si>
  <si>
    <t>Profesionales de ventas técnicas y médicas (excluyendo la TIC)</t>
  </si>
  <si>
    <t>Match correcto. Familia de ventas tecnicas correcta.</t>
  </si>
  <si>
    <t>v8.4_multicriterio_nivel_validated</t>
  </si>
  <si>
    <t>Gerente de Ventas no es Representante. Nivel jerarquico excesivo hacia abajo.</t>
  </si>
  <si>
    <t>Empleado administrativo/empleada administrativa</t>
  </si>
  <si>
    <t>http://data.europa.eu/esco/occupation/044d78cc-f62f-4532-83a5-8e04f2889652</t>
  </si>
  <si>
    <t>3343</t>
  </si>
  <si>
    <t>Secretarios administrativos y ejecutivos</t>
  </si>
  <si>
    <t>v8.5: Asistente de Dirección -&gt; Empleado administrativo (ISCO 3343). CORRECTO - score 0.892.</t>
  </si>
  <si>
    <t>Match correcto. Ocupacion general administrativa.</t>
  </si>
  <si>
    <t>Asistente de dirección</t>
  </si>
  <si>
    <t>http://data.europa.eu/esco/occupation/2a04a1df-a3b9-403e-a245-e7f93fdddd44</t>
  </si>
  <si>
    <t>Match exacto.</t>
  </si>
  <si>
    <t>Agente de atención al cliente por chat</t>
  </si>
  <si>
    <t>http://data.europa.eu/esco/occupation/fde97584-d8e3-413e-a662-511c9055357e</t>
  </si>
  <si>
    <t>4222</t>
  </si>
  <si>
    <t>Empleados de centros de llamadas</t>
  </si>
  <si>
    <t>Match aceptable. Familia de atencion al cliente correcta.</t>
  </si>
  <si>
    <t>Cajero/cajera</t>
  </si>
  <si>
    <t>http://data.europa.eu/esco/occupation/2b871272-bd61-4206-bd1a-0b96d7023098</t>
  </si>
  <si>
    <t>5230</t>
  </si>
  <si>
    <t>Cajeros y expendedores de billetes</t>
  </si>
  <si>
    <t>Match correcto.</t>
  </si>
  <si>
    <t>Médico generalista/médica generalista</t>
  </si>
  <si>
    <t>http://data.europa.eu/esco/occupation/71f09c8b-a172-408c-b9e7-32e580e39ff6</t>
  </si>
  <si>
    <t>2211</t>
  </si>
  <si>
    <t>Médicos generales</t>
  </si>
  <si>
    <t>v8.5: Médica Clínica/Dermatóloga -&gt; Médico generalista (ISCO 2211). CORRECTO - ambos son médicos.</t>
  </si>
  <si>
    <t>Jardinero paisajista/jardinera paisajista</t>
  </si>
  <si>
    <t>http://data.europa.eu/esco/occupation/e7970c7a-7769-4002-87d3-0a8ea94fdd6f</t>
  </si>
  <si>
    <t>6113</t>
  </si>
  <si>
    <t>Agricultores y trabajadores calificados de huertas, invernaderos, viveros y jardines</t>
  </si>
  <si>
    <t>Camarero/camarera</t>
  </si>
  <si>
    <t>http://data.europa.eu/esco/occupation/d5db9d5c-2ebf-4a54-a79a-1b7e7ff70471</t>
  </si>
  <si>
    <t>5131</t>
  </si>
  <si>
    <t>Camareros de mesas</t>
  </si>
  <si>
    <t>v8.2 CORREGIDO: Mozo -&gt; Camarero/camarera (busqueda hibrida funciono). Antes: vinedos/agricultura.</t>
  </si>
  <si>
    <t>Electricista de obras</t>
  </si>
  <si>
    <t>http://data.europa.eu/esco/occupation/33960bab-4423-4808-af6c-ec2b485dba41</t>
  </si>
  <si>
    <t>Director de departamento de administración/directora de departamento de administración</t>
  </si>
  <si>
    <t>http://data.europa.eu/esco/occupation/6e6839b6-099c-4802-906e-7f2c8203ee69</t>
  </si>
  <si>
    <t>3341</t>
  </si>
  <si>
    <t>Supervisores de secretaría</t>
  </si>
  <si>
    <t>v8.5: Supervisor/a Administración -&gt; Director departamento administración (ISCO 3341). Bypass diccionario.</t>
  </si>
  <si>
    <t>Conductor de vehículo de reparto/conductora de vehículo de reparto</t>
  </si>
  <si>
    <t>http://data.europa.eu/esco/occupation/0c408028-c48f-4df8-ba5d-c3d3be15f5a2</t>
  </si>
  <si>
    <t>8322</t>
  </si>
  <si>
    <t>Conductores de automóviles, taxis y camionetas</t>
  </si>
  <si>
    <t>Reponedor/reponedora</t>
  </si>
  <si>
    <t>http://data.europa.eu/esco/occupation/d35f9e79-5778-43b4-8667-0e3ba1fcb19a</t>
  </si>
  <si>
    <t>9334</t>
  </si>
  <si>
    <t>Reponedores de estanterías</t>
  </si>
  <si>
    <t>v8.4 CORREGIDO: Operario Picking -&gt; Reponedor/reponedora (ISCO 9334). Bypass diccionario argentino.</t>
  </si>
  <si>
    <t>Operario de logística de almacén/operaria de logística de almacén</t>
  </si>
  <si>
    <t>http://data.europa.eu/esco/occupation/808becc8-5a4e-4e71-a043-c2ea32b56ae3</t>
  </si>
  <si>
    <t>9333</t>
  </si>
  <si>
    <t>Peones de carga</t>
  </si>
  <si>
    <t>v8.3: CORREGIDO. Repositor -&gt; Reponedor/reponedora (ISCO 9334). Bypass diccionario argentino resuelve homonimia lexica.</t>
  </si>
  <si>
    <t>v8.5: Asistente Administrativo General -&gt; Empleado administrativo (ISCO 3343). CORRECTO - score 0.780.</t>
  </si>
  <si>
    <t>Desarrollador web/desarrolladora web</t>
  </si>
  <si>
    <t>http://data.europa.eu/esco/occupation/c40a2919-48a9-40ea-b506-1f34f693496d</t>
  </si>
  <si>
    <t>2513</t>
  </si>
  <si>
    <t>Desarrolladores web y multimedios</t>
  </si>
  <si>
    <t>Match correcto. Angular es framework web.</t>
  </si>
  <si>
    <t>Asesor jurídico/asesora jurídica</t>
  </si>
  <si>
    <t>http://data.europa.eu/esco/occupation/31854d78-3615-43a4-aa3a-c597ecb20ceb</t>
  </si>
  <si>
    <t>2619</t>
  </si>
  <si>
    <t>Profesionales en derecho no clasificados bajo otros epígrafes</t>
  </si>
  <si>
    <t>Match correcto. Familia educacion.</t>
  </si>
  <si>
    <t>Dibujante de guiones gráficos</t>
  </si>
  <si>
    <t>http://data.europa.eu/esco/occupation/ae66ca51-e762-48b4-bd46-071dc87cb30d</t>
  </si>
  <si>
    <t>2651</t>
  </si>
  <si>
    <t>Artistas de artes plásticas</t>
  </si>
  <si>
    <t>Vendedor/vendedora</t>
  </si>
  <si>
    <t>http://data.europa.eu/esco/occupation/9ba74e8a-c40c-4228-9998-eb3c7a5c11df</t>
  </si>
  <si>
    <t>v8.5: Asesor de Ventas Directas -&gt; Vendedor/vendedora (ISCO 5223). Bypass diccionario.</t>
  </si>
  <si>
    <t>Asesor de orientación profesional/asesora de orientación profesional</t>
  </si>
  <si>
    <t>http://data.europa.eu/esco/occupation/5d0cc30d-068a-424c-8463-f42872a7149e</t>
  </si>
  <si>
    <t>2423</t>
  </si>
  <si>
    <t>Especialistas en políticas y servicios de personal y afines</t>
  </si>
  <si>
    <t>Ingeniero agrícola/ingeniera agrícola</t>
  </si>
  <si>
    <t>http://data.europa.eu/esco/occupation/4d5bd738-9202-4fd7-bd8c-7dbe914048de</t>
  </si>
  <si>
    <t>2144</t>
  </si>
  <si>
    <t>Ingenieros mecánicos</t>
  </si>
  <si>
    <t>v8.4 CORREGIDO: Analista de Cultivo -&gt; Ingeniero agricola/ingeniera agricola (ISCO 2144). Bypass diccionario argentino.</t>
  </si>
  <si>
    <t>Gerente de maderera</t>
  </si>
  <si>
    <t>http://data.europa.eu/esco/occupation/b633af32-c8c0-4481-9971-7932ea4b16b5</t>
  </si>
  <si>
    <t>1219</t>
  </si>
  <si>
    <t>Directores de administración y servicios no clasificados bajo otros epígrafes</t>
  </si>
  <si>
    <t>v8.5: Asesor/a de Ventas -&gt; Vendedor/vendedora (ISCO 5223). Bypass diccionario.</t>
  </si>
  <si>
    <t>Asistente de departamento de ventas</t>
  </si>
  <si>
    <t>http://data.europa.eu/esco/occupation/5c1eba1e-7820-4287-9746-4c5906320100</t>
  </si>
  <si>
    <t>4311</t>
  </si>
  <si>
    <t>Empleados de contabilidad y cálculo de costos</t>
  </si>
  <si>
    <t>Match correcto. E-commerce es ventas en red.</t>
  </si>
  <si>
    <t>RESUMEN - Gold Set Matching MOL</t>
  </si>
  <si>
    <t>Fecha generación:</t>
  </si>
  <si>
    <t>2025-12-10</t>
  </si>
  <si>
    <t>MÉTRICAS PRINCIPALES</t>
  </si>
  <si>
    <t>Total ofertas Gold Set</t>
  </si>
  <si>
    <t>Matching correctos</t>
  </si>
  <si>
    <t>Precisión Matching</t>
  </si>
  <si>
    <t>100.0%</t>
  </si>
  <si>
    <t>Versión Matching</t>
  </si>
  <si>
    <t>v2.1.1 BGE-M3</t>
  </si>
  <si>
    <t>COBERTURA NLP POR CAMPO</t>
  </si>
  <si>
    <t>43/49</t>
  </si>
  <si>
    <t>87.8%</t>
  </si>
  <si>
    <t>33/49</t>
  </si>
  <si>
    <t>67.3%</t>
  </si>
  <si>
    <t>48/49</t>
  </si>
  <si>
    <t>98.0%</t>
  </si>
  <si>
    <t>29/49</t>
  </si>
  <si>
    <t>59.2%</t>
  </si>
  <si>
    <t>27/49</t>
  </si>
  <si>
    <t>55.1%</t>
  </si>
  <si>
    <t>41/49</t>
  </si>
  <si>
    <t>83.7%</t>
  </si>
  <si>
    <t>7/49</t>
  </si>
  <si>
    <t>14.3%</t>
  </si>
  <si>
    <t>DISTRIBUCIÓN POR ÁREA FUNCIONAL</t>
  </si>
  <si>
    <t>jefe de almacén/jefa de almacén</t>
  </si>
  <si>
    <t>ESCO Propuesto</t>
  </si>
  <si>
    <t>Delineantes y dibujantes técnicos</t>
  </si>
  <si>
    <t>Operadores de autoelevadoras</t>
  </si>
  <si>
    <t>Auxiliares contables y financieros</t>
  </si>
  <si>
    <t>Gerentes de restaurantes</t>
  </si>
  <si>
    <t>Gerentes de comercios al por mayor y al por menor</t>
  </si>
  <si>
    <t>Gestor de la atención al cliente/gestora de la atención al cliente</t>
  </si>
  <si>
    <t>Electricista industrial</t>
  </si>
  <si>
    <t>Responsable de pedidos de almacén</t>
  </si>
  <si>
    <t>Asesor académico/asesora académica</t>
  </si>
  <si>
    <t>Diseñador gráfico/diseñadora gráfica</t>
  </si>
  <si>
    <t>Nutricionista animal</t>
  </si>
  <si>
    <t>Técnico agrícola/técnica agrícola</t>
  </si>
  <si>
    <t>Evaluación</t>
  </si>
  <si>
    <t>Ingeniero de ventas/ingeniera de ventas</t>
  </si>
  <si>
    <t>FALSO
Capital Federal</t>
  </si>
  <si>
    <t>FALSO
["conocimiento EXCLUYENTE en mecánica y repuestos de autos","paquete office", "canales de venta online", "computación en general"]</t>
  </si>
  <si>
    <t>FALSO
["manejo básico o intermedio de paquete oficce","computación en general"]</t>
  </si>
  <si>
    <t>FALSO
["Abogado/a para el Departamento de Impuestos de Estudio Jurídico de primera línea"]</t>
  </si>
  <si>
    <t>FALSO
Rubro Electrico industrial</t>
  </si>
  <si>
    <t>FALSO
["captar y desarrollar cuentas industriales medianas y grandes, impulsando ventas técnicas consultivas de productos y servicios críticos de energía (UPS, baterías, estabilizadores, rectificadores, grupos electrógenos) y obras eléctricas industriales y de puesta a tierra. El rol combina prospección activa (hunter) con seguimiento y expansión de cuentas (farmer), dentro de una gestión comercial estructurada con CRM"]</t>
  </si>
  <si>
    <t>FALSO
["Más de 3 años de experiencia comercial comprobable en venta técnica B2B", "Experiencia en industrias y conocimiento de sus dinámicas de compra", "Perfil hunter, con energía y autonomía para salir a buscar negocio", "Buen manejo de CRM (ideal si usó Táctica Soft o similar)", "Capacidad de redacción técnica y presentación a clientes","Conocimientos básicos de sistemas eléctricos, energía y obras eléctricas y de PAT Formación técnica (electromecánica, electrónica, electricidad, etc.)","Se valorará contar con experiencia en empresas de servicios técnicos o en instalaciones/obras eléctricas, así como experiencia en la gestión de negocios a largo plazo"]</t>
  </si>
  <si>
    <t>FALSO
Lomas de Zamora</t>
  </si>
  <si>
    <t>FALSO
Metalurgica</t>
  </si>
  <si>
    <t>FALSO
["Experiencia en atención al cliente o ventas digitales", "herramientas informáticas", "sistema CRM"]</t>
  </si>
  <si>
    <t>FALSO
Buenos Aires</t>
  </si>
  <si>
    <t>FALSO
Lomas del Mirador</t>
  </si>
  <si>
    <t>Diseño y desarrollo</t>
  </si>
  <si>
    <t>FALSO
Realización de planos de piezas propias y relevamiento de piezas varias</t>
  </si>
  <si>
    <t>Campo</t>
  </si>
  <si>
    <t>Valor Actual NLP</t>
  </si>
  <si>
    <t>Valor Esperado</t>
  </si>
  <si>
    <t>Evidencia en Texto Original</t>
  </si>
  <si>
    <t>Tipo Error</t>
  </si>
  <si>
    <t>Sugerencia para Prompt/Regex</t>
  </si>
  <si>
    <t>(vacío)</t>
  </si>
  <si>
    <t>Columna E: 'Capital Federal, Buenos Aires'</t>
  </si>
  <si>
    <t>campo_estructurado_ignorado</t>
  </si>
  <si>
    <t>Leer provincia/localidad desde campos estructurados de la oferta (columnas D-E), no solo del texto libre</t>
  </si>
  <si>
    <t>Parsear 'Localidad, Provincia' del campo Ubicación. Formato común: 'Ciudad, Provincia'</t>
  </si>
  <si>
    <t>comedor en planta', 'áreas del taller' → implica trabajo físico en sitio</t>
  </si>
  <si>
    <t>inferencia_faltante</t>
  </si>
  <si>
    <t>Inferir presencial cuando: menciona instalaciones físicas (comedor, planta, taller), no menciona remoto/híbrido</t>
  </si>
  <si>
    <t>VENDEDOR', 'AMBICION DE VENTAS', 'canales de venta online'</t>
  </si>
  <si>
    <t>clasificacion_faltante</t>
  </si>
  <si>
    <t>Palabras clave: vendedor, ventas, comercial, asesor comercial → area_funcional = Ventas/Comercial</t>
  </si>
  <si>
    <t>EXPERIENCIA COMPROBABLE' (excluyente)</t>
  </si>
  <si>
    <t>Si pide experiencia comprobable/excluyente sin especificar años → semisenior. Si dice 'sin experiencia' o 'primer empleo' → junior</t>
  </si>
  <si>
    <t>CON EXPERIENCIA COMPROBABLE' sugiere mínimo 1 año</t>
  </si>
  <si>
    <t>Cuando dice 'experiencia comprobable' sin número → asumir mínimo 1 año. Buscar patrones: 'X años', 'mínimo X', 'al menos X'</t>
  </si>
  <si>
    <t>No menciona supervisión, equipo a cargo, ni liderazgo</t>
  </si>
  <si>
    <t>default_faltante</t>
  </si>
  <si>
    <t>Default = 0. Solo = 1 si menciona: 'a cargo de', 'supervisar', 'liderar equipo', 'personal a cargo'</t>
  </si>
  <si>
    <t>[{"valor": "venta de repuestos automotor", "texto_original": "VENDEDOR AUTOMOTOR"}, {"valor": "comunicación con áreas del taller", "texto_original": "excelente comunicación con las distintas áreas del taller"}, {"valor": "atención al cliente", "texto_original": "brindarle una experiencia de lujo al cliente"}]</t>
  </si>
  <si>
    <t>Texto describe funciones aunque no usa bullet points</t>
  </si>
  <si>
    <t>extraccion_incompleta</t>
  </si>
  <si>
    <t>No depender solo de listas con bullets. Extraer tareas de frases como: 'será responsable de', 'sus funciones incluyen', verbos de acción en contexto laboral</t>
  </si>
  <si>
    <t>post venta automotriz</t>
  </si>
  <si>
    <t>Somos un post venta de reconocidas marcas líderes'</t>
  </si>
  <si>
    <t>extraccion_faltante</t>
  </si>
  <si>
    <t>Buscar frases: 'somos una empresa de', 'dedicados a', 'especialistas en' para identificar rubro</t>
  </si>
  <si>
    <t>full-time</t>
  </si>
  <si>
    <t>comedor en planta' sugiere jornada completa</t>
  </si>
  <si>
    <t>Inferir full-time si: menciona comedor, horario completo, o no especifica part-time. Default = full-time para ofertas que no aclaran</t>
  </si>
  <si>
    <t>No menciona auto propio, movilidad, licencia de conducir</t>
  </si>
  <si>
    <t>Default = 0. Solo = 1 si menciona: 'movilidad propia', 'auto propio', 'licencia de conducir', 'vehículo'</t>
  </si>
  <si>
    <t>RESUMEN DE PATRONES DE ERROR</t>
  </si>
  <si>
    <t>Descripción y Acción Correctiva</t>
  </si>
  <si>
    <t>El NLP no está leyendo campos ya estructurados de la oferta (Ubicación, Empresa). ACCIÓN: Priorizar extracción de campos estructurados antes del texto libre.</t>
  </si>
  <si>
    <t>El NLP no infiere información implícita del contexto. ACCIÓN: Agregar reglas de inferencia basadas en indicadores contextuales.</t>
  </si>
  <si>
    <t>El NLP no clasifica campos categóricos evidentes. ACCIÓN: Implementar diccionario de palabras clave → categoría.</t>
  </si>
  <si>
    <t>El NLP extrae parcialmente cuando el formato no es lista/bullets. ACCIÓN: Usar NLP semántico, no solo regex de listas.</t>
  </si>
  <si>
    <t>El NLP no extrae información presente en el texto. ACCIÓN: Ampliar patrones de búsqueda.</t>
  </si>
  <si>
    <t>El NLP no asigna valores default cuando corresponde. ACCIÓN: Definir defaults para campos booleanos/numéricos.</t>
  </si>
  <si>
    <t>ANÁLISIS DE COBERTURA NLP - 49 OFERTAS</t>
  </si>
  <si>
    <t>Correctos</t>
  </si>
  <si>
    <t>Vacíos</t>
  </si>
  <si>
    <t>Errores</t>
  </si>
  <si>
    <t>% Gap</t>
  </si>
  <si>
    <t>Prioridad</t>
  </si>
  <si>
    <t>🔴 ALTA</t>
  </si>
  <si>
    <t>🟡 MEDIA</t>
  </si>
  <si>
    <t>🟢 BAJA</t>
  </si>
  <si>
    <t>ERRORES CRÍTICOS DETECTADOS</t>
  </si>
  <si>
    <t>Campo Afectado</t>
  </si>
  <si>
    <t>Descripción</t>
  </si>
  <si>
    <t>valores_booleanos</t>
  </si>
  <si>
    <t>provincia, localidad, modalidad, area_funcional</t>
  </si>
  <si>
    <t>Todos los campos retornan TRUE en lugar del valor de texto</t>
  </si>
  <si>
    <t>provincia, localidad</t>
  </si>
  <si>
    <t>provincia='FALSO\nCapital Federal', localidad=FALSE</t>
  </si>
  <si>
    <t>parseo_numerico</t>
  </si>
  <si>
    <t>Extrae 35 años cuando debería ser 2 (confunde rango edad 35-50 con experiencia)</t>
  </si>
  <si>
    <t>Extrae 20 años (confunde rango edad 20-45 con experiencia)</t>
  </si>
  <si>
    <t>No lee campos ya estructurados de la oferta original</t>
  </si>
  <si>
    <t>IDs CON CAMPOS VACÍOS (PRINCIPALES)</t>
  </si>
  <si>
    <t>IDs afectados (16 vacios provincia, 22 localidad)</t>
  </si>
  <si>
    <t>provincia (16 vacíos)</t>
  </si>
  <si>
    <t>1118026700, 1118027941, 1118028657, 1118028833, 2162667, 1118025212, 1117960588, 1118000814, 1118025956, 2165052, 1117961954, 1117982053, 1118018714, 1118031991, 1118028777, 1118028048</t>
  </si>
  <si>
    <t>localidad (22 vacíos)</t>
  </si>
  <si>
    <t>1118026700, 1118027941, 1118028833, 2162667, 1118025212, 1117960588, 1118009739, 1118000814, 1118025956, 2165052, 1118023904, 1117961954, 1117982053, 1118018461, 1118018714, 1118031991, 1116884561, 1117995368, 1117975249, 1118028777, 1118028048, 1118009703</t>
  </si>
  <si>
    <t>REGLAS DE MEJORA PARA NLP - PROMPT/REGEX</t>
  </si>
  <si>
    <t>Categoría</t>
  </si>
  <si>
    <t>Problema</t>
  </si>
  <si>
    <t>Regla de Mejora</t>
  </si>
  <si>
    <t>Implementación Sugerida</t>
  </si>
  <si>
    <t>🔴 1</t>
  </si>
  <si>
    <t>CAMPOS ESTRUCTURADOS</t>
  </si>
  <si>
    <t>provincia y localidad vacíos en 36-49% de casos</t>
  </si>
  <si>
    <t>PRIORIZAR extracción de campos estructurados de la oferta ANTES de analizar texto libre</t>
  </si>
  <si>
    <t>Parsear columna 'Ubicación' con formato 'Localidad, Provincia'. Usar regex: ^(.+),\s*(.+)$ para separar</t>
  </si>
  <si>
    <t>🔴 2</t>
  </si>
  <si>
    <t>VALORES BOOLEANOS</t>
  </si>
  <si>
    <t>Algunos campos retornan TRUE/FALSE en lugar de texto</t>
  </si>
  <si>
    <t>VALIDAR tipo de dato antes de asignar. Si es booleano, marcar como error y reintentar</t>
  </si>
  <si>
    <t>if isinstance(valor, bool): raise ValueError('Campo debe ser string'). Revisar lógica de parsing JSON</t>
  </si>
  <si>
    <t>🔴 3</t>
  </si>
  <si>
    <t>EXPERIENCIA vs EDAD</t>
  </si>
  <si>
    <t>Confunde rangos de edad (35-50 años) con experiencia requerida</t>
  </si>
  <si>
    <t>Distinguir contexto: 'Edad mínima/máxima' vs 'experiencia mínima'</t>
  </si>
  <si>
    <t>Regex negativo: NO extraer números precedidos de 'edad', 'años de edad'. SÓLO extraer si dice 'experiencia de X años' o 'X años de experiencia'</t>
  </si>
  <si>
    <t>🟡 4</t>
  </si>
  <si>
    <t>MODALIDAD INFERIDA</t>
  </si>
  <si>
    <t>16% de ofertas sin modalidad detectada</t>
  </si>
  <si>
    <t>Inferir modalidad del CONTEXTO cuando no es explícita</t>
  </si>
  <si>
    <t>Si menciona: 'comedor en planta', 'taller', 'sucursal', 'presencial obligatorio' → presencial. Si no menciona remoto/híbrido → default presencial</t>
  </si>
  <si>
    <t>🟡 5</t>
  </si>
  <si>
    <t>SENIORITY INFERIDO</t>
  </si>
  <si>
    <t>12% de ofertas sin nivel de seniority</t>
  </si>
  <si>
    <t>Inferir seniority de indicadores contextuales</t>
  </si>
  <si>
    <t>junior: 'sin experiencia', 'primer empleo', '0-1 año'. semisenior: 'experiencia comprobable', '2-4 años'. senior: '5+ años', 'líder'. lead/manager: 'gerente', 'director', 'a cargo de equipo'</t>
  </si>
  <si>
    <t>🟡 6</t>
  </si>
  <si>
    <t>AREA FUNCIONAL</t>
  </si>
  <si>
    <t>4% de ofertas sin área funcional clasificada</t>
  </si>
  <si>
    <t>Usar diccionario de palabras clave → categoría</t>
  </si>
  <si>
    <t>vendedor|ventas|comercial → Ventas. admin|contable|finanzas → Admin. operario|logística|almacén → Operaciones. desarrollador|programador|IT → IT/Sistemas</t>
  </si>
  <si>
    <t>🟢 7</t>
  </si>
  <si>
    <t>TAREAS EXPLICITAS</t>
  </si>
  <si>
    <t>No extrae tareas cuando no hay bullet points</t>
  </si>
  <si>
    <t>No depender SOLO de listas con bullets. Buscar verbos de acción en contexto</t>
  </si>
  <si>
    <t>Patrones: 'será responsable de', 'sus funciones incluyen', 'deberá', 'tendrá a cargo'. Extraer frases con verbos infinitivos</t>
  </si>
  <si>
    <t>🟢 8</t>
  </si>
  <si>
    <t>DEFAULTS FALTANTES</t>
  </si>
  <si>
    <t>Campos booleanos/numéricos sin valor default</t>
  </si>
  <si>
    <t>Asignar valores DEFAULT cuando no hay información</t>
  </si>
  <si>
    <t>tiene_gente_cargo: default=0. requiere_movilidad_propia: default=0. jornada_laboral: default='full_time'. modalidad: default='presencial'</t>
  </si>
  <si>
    <t>🟢 9</t>
  </si>
  <si>
    <t>RUBRO EMPRESA</t>
  </si>
  <si>
    <t>Muchas ofertas sin rubro identificado</t>
  </si>
  <si>
    <t>Buscar frases descriptivas de la empresa</t>
  </si>
  <si>
    <t>Patrones: 'somos una empresa de', 'dedicados a', 'líder en', 'especialistas en'. Extraer sustantivo siguiente</t>
  </si>
  <si>
    <t>🟢 10</t>
  </si>
  <si>
    <t>VALIDACIÓN CRUZADA</t>
  </si>
  <si>
    <t>No hay validación de coherencia entre campos</t>
  </si>
  <si>
    <t>Validar que los valores extraídos sean coherentes entre sí</t>
  </si>
  <si>
    <t>Si experiencia=35 y seniority='junior' → ERROR. Si area='IT' y titulo='jardinero' → revisar. Implementar reglas de validación post-extracción</t>
  </si>
  <si>
    <t>🟢 11</t>
  </si>
  <si>
    <t>NORMALIZACIÓN UBICACIÓN</t>
  </si>
  <si>
    <t>Variantes de nombres (CABA vs Capital Federal vs Buenos Aires)</t>
  </si>
  <si>
    <t>Normalizar nombres de provincias y localidades</t>
  </si>
  <si>
    <t>Diccionario: {'CABA': 'Capital Federal', 'Bs As': 'Buenos Aires', 'Cba': 'Córdoba'}. Aplicar antes de guardar</t>
  </si>
  <si>
    <t>🟢 12</t>
  </si>
  <si>
    <t>EXPERIENCIA IMPLÍCITA</t>
  </si>
  <si>
    <t>No detecta 'experiencia comprobable' sin número</t>
  </si>
  <si>
    <t>Asignar valor mínimo cuando menciona experiencia sin especificar</t>
  </si>
  <si>
    <t>experiencia comprobable' sin número → experiencia_min=1. 'amplia experiencia' → experiencia_min=3. 'sin experiencia' → experiencia_min=0</t>
  </si>
  <si>
    <t>EJEMPLOS DE REGEX SUGERIDOS</t>
  </si>
  <si>
    <t>Regex Pattern</t>
  </si>
  <si>
    <t>Ejemplo Match</t>
  </si>
  <si>
    <t>ubicacion_split</t>
  </si>
  <si>
    <t>^(.+),\s*(.+)$</t>
  </si>
  <si>
    <t>Capital Federal, Buenos Aires' → ['Capital Federal', 'Buenos Aires']</t>
  </si>
  <si>
    <t>experiencia_anios</t>
  </si>
  <si>
    <t>(?:experiencia|exp\.?)\s*(?:de\s+)?(?:mínima?\s+)?(?:de\s+)?(\d+)\s*(?:a(?:ños?)?|años?)</t>
  </si>
  <si>
    <t>experiencia mínima de 2 años' → 2</t>
  </si>
  <si>
    <t>experiencia_negativo</t>
  </si>
  <si>
    <t>(?&lt;!edad\s)(?&lt;!años\sde\s)(\d+)\s*años.*experiencia</t>
  </si>
  <si>
    <t>Evita capturar 'edad mínima 35 años'</t>
  </si>
  <si>
    <t>(?:modalidad|trabajo)\s*[:\-]?\s*(presencial|remoto|híbrido|hibrida|home\s*office)</t>
  </si>
  <si>
    <t>Modalidad: Híbrida' → 'híbrido'</t>
  </si>
  <si>
    <t>seniority_keywords</t>
  </si>
  <si>
    <t>(junior|sr\.?|ssr\.?|semi[-\s]?senior|senior|lead|manager|gerente|jefe|director)</t>
  </si>
  <si>
    <t>Ejecutivo SSR/SR' → 'semisenior'</t>
  </si>
  <si>
    <t>(?:a\s+cargo\s+de|supervisar|liderar|coordinar)\s*(?:equipo|personal|personas)</t>
  </si>
  <si>
    <t>personal a cargo' → tiene_gente_cargo=1</t>
  </si>
  <si>
    <t>(?:licencia|registro|carnet)\s*(?:de\s+)?(?:conducir|manejo)</t>
  </si>
  <si>
    <t>licencia de conducir vigente' → licencia_conducir=1</t>
  </si>
  <si>
    <t>movilidad_propia</t>
  </si>
  <si>
    <t>(?:movilidad|auto|vehículo)\s*propi[oa]</t>
  </si>
  <si>
    <t>movilidad propia excluyente' → requiere_movilidad_propia=1</t>
  </si>
  <si>
    <t>FEEDBACK MATCHING ESCO - 18 CASOS CON ERROR</t>
  </si>
  <si>
    <t>Título Oferta</t>
  </si>
  <si>
    <t>ESCO Actual (ERROR)</t>
  </si>
  <si>
    <t>ESCO Propuesto (CORRECTO)</t>
  </si>
  <si>
    <t>Señales NLP Ignoradas</t>
  </si>
  <si>
    <t>Causa Raíz</t>
  </si>
  <si>
    <t>Regla Correctiva</t>
  </si>
  <si>
    <t>Técnico medio en contabilidad (ISCO 3313)</t>
  </si>
  <si>
    <t>DOMINIO_INCORRECTO</t>
  </si>
  <si>
    <t>skills: AutoCAD, Solidworks | sector: metalurgia | tareas: realización de planos</t>
  </si>
  <si>
    <t>Matching por título ignora skills técnicas. 'Técnico' se asocia erróneamente con contabilidad</t>
  </si>
  <si>
    <t>Si skills contiene [AutoCAD, Solidworks, CAD, planos] → forzar familia ISCO 311x (Delineantes)</t>
  </si>
  <si>
    <t>🔴 CRÍTICA</t>
  </si>
  <si>
    <t>Operador de maquinaria agrícola (ISCO 8341)</t>
  </si>
  <si>
    <t>sector: Transporte/Logistica | tareas: manejo autoelevadores | licencia: tipo O</t>
  </si>
  <si>
    <t>Autoelevador ≠ maquinaria agrícola. Embeddings confunden 'maquinaria'</t>
  </si>
  <si>
    <t>Diccionario: autoelevador|montacargas|forklift → ISCO 8344 (Operadores de carretillas)</t>
  </si>
  <si>
    <t>Dibujante de guiones gráficos (ISCO 2651)</t>
  </si>
  <si>
    <t>skills: Photoshop, Illustrator | area: Marketing | tareas: contenido visual e-commerce</t>
  </si>
  <si>
    <t>Diseñador gráfico ≠ Dibujante de guiones (storyboard). Confusión semántica</t>
  </si>
  <si>
    <t>Si skills contiene [Photoshop, Illustrator, diseño gráfico] → ISCO 2166 (Diseñadores gráficos)</t>
  </si>
  <si>
    <t>Asesor de orientación profesional (ISCO 2423)</t>
  </si>
  <si>
    <t>sector: Nutrición Animal | rubro: rumiantes | formación: Veterinario/Zootecnista</t>
  </si>
  <si>
    <t>Asesor' genera match con 'orientación profesional' ignorando 'nutrición animal'</t>
  </si>
  <si>
    <t>Si título contiene 'nutrición animal' → ISCO 3240 (Técnicos veterinarios)</t>
  </si>
  <si>
    <t>Gerente de Operaciones - Gastronomía</t>
  </si>
  <si>
    <t>Gerente de explotación minera (ISCO 3121)</t>
  </si>
  <si>
    <t>SECTOR_IGNORADO</t>
  </si>
  <si>
    <t>título: Gastronomía corporativa | tareas: calidad, higiene, KPIs gastronomía</t>
  </si>
  <si>
    <t>Gerente de Operaciones' matchea con minería ignorando el sector gastronómico</t>
  </si>
  <si>
    <t>Si título contiene [gastronomía, restaurante, catering] → ISCO 1412 (Gerentes restaurantes)</t>
  </si>
  <si>
    <t>Gerente de Ventas Concesionario Maquinaria</t>
  </si>
  <si>
    <t>Representante técnico de ventas (ISCO 2433)</t>
  </si>
  <si>
    <t>Gerentes de comercios al por mayor</t>
  </si>
  <si>
    <t>NIVEL_JERARQUICO</t>
  </si>
  <si>
    <t>seniority: lead/manager | tiene_gente_cargo: 1 | tareas: liderar equipo</t>
  </si>
  <si>
    <t>GERENTE bajado a REPRESENTANTE. Nivel jerárquico ignorado completamente</t>
  </si>
  <si>
    <t>Si seniority=lead/manager Y tiene_gente_cargo=1 → priorizar ISCO 1xxx (Directores/Gerentes)</t>
  </si>
  <si>
    <t>Asesor jurídico/asesora jurídica (ISCO 2619)</t>
  </si>
  <si>
    <t>HOMONIMIA</t>
  </si>
  <si>
    <t>sector: Educacion | tareas: admisión universidad, charlas, CRM</t>
  </si>
  <si>
    <t>Asesor' es polisémico. Sin contexto de sector, matchea con jurídico</t>
  </si>
  <si>
    <t>Si sector=Educacion Y título contiene 'admisión' → ISCO 2359 (Profesionales educación)</t>
  </si>
  <si>
    <t>🟡 ALTA</t>
  </si>
  <si>
    <t>Encargado de relaciones públicas (ISCO 2432)</t>
  </si>
  <si>
    <t>Jefe de almacén/jefa de almacén</t>
  </si>
  <si>
    <t>area: Operaciones/Logistica | tareas: inventarios, stocks, depósito</t>
  </si>
  <si>
    <t>Responsable' matchea con RRPP. Ignora completamente 'depósito' y tareas logísticas</t>
  </si>
  <si>
    <t>Si tareas contienen [inventario, stock, depósito, almacén] → ISCO 4321 (Empleados almacén)</t>
  </si>
  <si>
    <t>Técnico de contadores eléctricos (ISCO 7411)</t>
  </si>
  <si>
    <t>Ingeniero de ventas</t>
  </si>
  <si>
    <t>area: Ventas/Comercial | tareas: prospección clientes, CRM, propuestas comerciales</t>
  </si>
  <si>
    <t>Score bajo (0.59) indica incertidumbre. Match absurdo con electricidad</t>
  </si>
  <si>
    <t>Si area=Ventas/Comercial Y tareas contienen [prospección, CRM, comercial] → ISCO 3322</t>
  </si>
  <si>
    <t>Empleado administrativo de seguros (ISCO 4312)</t>
  </si>
  <si>
    <t>ESPECIFICIDAD</t>
  </si>
  <si>
    <t>tareas: comex, importación/exportación | sector: Servicios Financieros</t>
  </si>
  <si>
    <t>Clasificación muy específica (seguros) cuando es admin general con foco comex</t>
  </si>
  <si>
    <t>Si tareas contienen [importación, exportación, comex] → ISCO 3331 (Agentes aduanas)</t>
  </si>
  <si>
    <t>Electricista de obras (ISCO 7411)</t>
  </si>
  <si>
    <t>tareas: tableros eléctricos control y potencia, mantenimiento industrial</t>
  </si>
  <si>
    <t>Electricista de OBRAS ≠ Electricista INDUSTRIAL. Falta granularidad</t>
  </si>
  <si>
    <t>Si título contiene 'industrial' Y tareas tienen [tableros, control, potencia] → ISCO 7412</t>
  </si>
  <si>
    <t>Asistente de dirección (ISCO 3343)</t>
  </si>
  <si>
    <t>area: Admin/Finanzas | tareas: pedidos venta, reportes ventas, cobranzas</t>
  </si>
  <si>
    <t>Asistente de DIRECCIÓN ≠ Asistente de VENTAS. Ignora el contexto comercial</t>
  </si>
  <si>
    <t>Si título contiene 'ventas' Y area=Admin → ISCO 4311 (Auxiliares contables)</t>
  </si>
  <si>
    <t>🟢 MEDIA</t>
  </si>
  <si>
    <t>Agente de atención al cliente por chat (ISCO 4222)</t>
  </si>
  <si>
    <t>Gestor de la atención al cliente</t>
  </si>
  <si>
    <t>tareas: fidelización, detección oportunidades, mejoras procesos</t>
  </si>
  <si>
    <t>Agente de CHAT es muy específico. El rol es más amplio (gestor)</t>
  </si>
  <si>
    <t>Si tareas contienen [fidelización, procesos, oportunidades] → nivel más alto que agente</t>
  </si>
  <si>
    <t>Empleado de oficina (ISCO 4110)</t>
  </si>
  <si>
    <t>MATCH_CORRECTO</t>
  </si>
  <si>
    <t>tareas: facturación, ciclos de pago</t>
  </si>
  <si>
    <t>El match es similar - oficinista vs empleado oficina. Diferencia menor</t>
  </si>
  <si>
    <t>Revisar si realmente es error o diferencia semántica mínima</t>
  </si>
  <si>
    <t>Reponedor/reponedora (ISCO 9334)</t>
  </si>
  <si>
    <t>tareas: picking RF, carga/descarga, armado pedidos</t>
  </si>
  <si>
    <t>Picking es operación de almacén, no reposición en góndola</t>
  </si>
  <si>
    <t>Diccionario: picking|preparador pedidos → ISCO 9321 (Empacadores manuales)</t>
  </si>
  <si>
    <t>Ingeniero agrícola (ISCO 2144)</t>
  </si>
  <si>
    <t>formación: secundario técnico | seniority: junior</t>
  </si>
  <si>
    <t>INGENIERO requiere universitario. Formación es secundario técnico → Técnico</t>
  </si>
  <si>
    <t>Si nivel_educativo=secundario → no asignar ISCO 2xxx (profesionales universitarios)</t>
  </si>
  <si>
    <t>ROL_PRIMARIO</t>
  </si>
  <si>
    <t>tareas: recepción personas, cobranzas, Tango</t>
  </si>
  <si>
    <t>El título dice RECEPCIONISTA primero. El match prioriza 'administrativo'</t>
  </si>
  <si>
    <t>Priorizar primera palabra del título cuando hay composición de roles</t>
  </si>
  <si>
    <t>Director departamento administración (ISCO 3341)</t>
  </si>
  <si>
    <t>(sin propuesta)</t>
  </si>
  <si>
    <t>MATCH_ACEPTABLE</t>
  </si>
  <si>
    <t>seniority: semisenior | tiene_gente_cargo: 1 | sector: Automotriz</t>
  </si>
  <si>
    <t>Supervisor ≈ Director depto. Score alto (0.95). Posible falso negativo en evaluación</t>
  </si>
  <si>
    <t>Revisar criterio de evaluación humana - puede ser match aceptable</t>
  </si>
  <si>
    <t>ANÁLISIS DE PATRONES DE ERROR</t>
  </si>
  <si>
    <t>Cantidad</t>
  </si>
  <si>
    <t>El matching asigna una ocupación de un dominio completamente diferente (ej: Dibujante → Contable)</t>
  </si>
  <si>
    <t>El match es de la familia correcta pero demasiado específico o genérico</t>
  </si>
  <si>
    <t>El nivel jerárquico no coincide (ej: Gerente matcheado como Representante)</t>
  </si>
  <si>
    <t>El sector de la empresa/industria no se consideró en el matching</t>
  </si>
  <si>
    <t>Palabras polisémicas generan matches incorrectos (ej: 'Asesor' → jurídico vs académico)</t>
  </si>
  <si>
    <t>En títulos compuestos, no se prioriza el rol principal</t>
  </si>
  <si>
    <t>Posible falso negativo en la evaluación humana</t>
  </si>
  <si>
    <t>PROPUESTA DE MEJORA DEL PIPELINE DE MATCHING</t>
  </si>
  <si>
    <t>PIPELINE ACTUAL</t>
  </si>
  <si>
    <t>PIPELINE PROPUESTO</t>
  </si>
  <si>
    <t>1. titulo_limpio</t>
  </si>
  <si>
    <t>1. titulo_limpio + mision_rol + tareas_explicitas</t>
  </si>
  <si>
    <t>2. Embedding → ESCO labels</t>
  </si>
  <si>
    <t>2. Embedding → Top 10 candidatos ESCO</t>
  </si>
  <si>
    <t>3. Seleccionar mejor score</t>
  </si>
  <si>
    <t>3. FILTRAR candidatos por: sector_empresa, area_funcional, nivel_seniority</t>
  </si>
  <si>
    <t>4. (no hay validación)</t>
  </si>
  <si>
    <t>4. RE-RANKEAR con skills_tecnicas_list (peso alto para skills discriminantes)</t>
  </si>
  <si>
    <t>5. VALIDAR coherencia: nivel_educativo vs ISCO (2xxx requiere universitario)</t>
  </si>
  <si>
    <t>REGLAS DE NEGOCIO PARA IMPLEMENTAR</t>
  </si>
  <si>
    <t>#</t>
  </si>
  <si>
    <t>Regla</t>
  </si>
  <si>
    <t>Condición</t>
  </si>
  <si>
    <t>Acción</t>
  </si>
  <si>
    <t>R1</t>
  </si>
  <si>
    <t>Skills CAD/Diseño</t>
  </si>
  <si>
    <t>skills_tecnicas contiene [AutoCAD, Solidworks, CAD, planos, Revit]</t>
  </si>
  <si>
    <t>Forzar ISCO 311x (Delineantes) o 216x (Diseñadores)</t>
  </si>
  <si>
    <t>R2</t>
  </si>
  <si>
    <t>Skills Diseño Gráfico</t>
  </si>
  <si>
    <t>skills_tecnicas contiene [Photoshop, Illustrator, InDesign, Figma]</t>
  </si>
  <si>
    <t>Forzar ISCO 2166 (Diseñadores gráficos)</t>
  </si>
  <si>
    <t>R3</t>
  </si>
  <si>
    <t>Autoelevador/Montacargas</t>
  </si>
  <si>
    <t>titulo contiene [autoelevador, montacargas, forklift, carretilla]</t>
  </si>
  <si>
    <t>Forzar ISCO 8344 (Operadores carretillas elevadoras)</t>
  </si>
  <si>
    <t>R4</t>
  </si>
  <si>
    <t>Nivel Gerencial</t>
  </si>
  <si>
    <t>seniority=lead/manager Y tiene_gente_cargo=1</t>
  </si>
  <si>
    <t>Priorizar ISCO 1xxx (Directores y gerentes)</t>
  </si>
  <si>
    <t>R5</t>
  </si>
  <si>
    <t>Formación vs ISCO</t>
  </si>
  <si>
    <t>nivel_educativo=secundario Y candidato ISCO 2xxx</t>
  </si>
  <si>
    <t>Descartar candidato (2xxx requiere universitario)</t>
  </si>
  <si>
    <t>R6</t>
  </si>
  <si>
    <t>Sector Gastronomía</t>
  </si>
  <si>
    <t>titulo/tareas contiene [gastronomía, restaurante, catering, chef]</t>
  </si>
  <si>
    <t>Priorizar ISCO 141x (Gerentes hoteles/restaurantes)</t>
  </si>
  <si>
    <t>R7</t>
  </si>
  <si>
    <t>Sector Educación</t>
  </si>
  <si>
    <t>sector=Educacion Y titulo contiene [admisión, académico, docente]</t>
  </si>
  <si>
    <t>Priorizar ISCO 23xx (Profesionales educación)</t>
  </si>
  <si>
    <t>R8</t>
  </si>
  <si>
    <t>titulo/rubro contiene [nutrición animal, veterinario, zootecnia]</t>
  </si>
  <si>
    <t>Forzar ISCO 324x (Técnicos veterinarios)</t>
  </si>
  <si>
    <t>R9</t>
  </si>
  <si>
    <t>Tareas Logísticas</t>
  </si>
  <si>
    <t>tareas contiene [inventario, stock, almacén, depósito, picking]</t>
  </si>
  <si>
    <t>Priorizar ISCO 432x (Empleados almacén) o 933x (Peones)</t>
  </si>
  <si>
    <t>R10</t>
  </si>
  <si>
    <t>titulo contiene 'industrial' Y tareas tienen [tableros, potencia, control]</t>
  </si>
  <si>
    <t>ISCO 7412 (Electricistas industriales) no 7411 (obras)</t>
  </si>
  <si>
    <t>R11</t>
  </si>
  <si>
    <t>Título Compuesto</t>
  </si>
  <si>
    <t>titulo tiene formato 'ROL1 / ROL2' o 'ROL1 - ROL2'</t>
  </si>
  <si>
    <t>Priorizar primera palabra/rol del título</t>
  </si>
  <si>
    <t>R12</t>
  </si>
  <si>
    <t>Score Bajo + Dominio</t>
  </si>
  <si>
    <t>score &lt; 0.65 Y area_funcional no coincide con candidato</t>
  </si>
  <si>
    <t>Rechazar match, buscar en segunda pasada con más contexto</t>
  </si>
  <si>
    <t>CONCLUSIÓN: RESPONSABILIDAD DEL ERROR</t>
  </si>
  <si>
    <t>Componente</t>
  </si>
  <si>
    <t>% Responsabilidad</t>
  </si>
  <si>
    <t>Explicación</t>
  </si>
  <si>
    <t>MATCHING (pipeline)</t>
  </si>
  <si>
    <t>El matching usa SOLO el título, ignorando skills, sector, tareas y nivel educativo que el NLP sí extraía correctamente</t>
  </si>
  <si>
    <t>NLP (extracción)</t>
  </si>
  <si>
    <t>Algunos campos vacíos (ubicación) y area_funcional a veces mal clasificada (ej: Dibujante → Operaciones en vez de Ingeniería)</t>
  </si>
  <si>
    <t>ESCO (taxonomía)</t>
  </si>
  <si>
    <t>Algunas ocupaciones argentinas no tienen equivalente exacto en ESCO europeo (ej: 'autoelevador' vs 'carretilla')</t>
  </si>
  <si>
    <t>FEEDBACK EXTRACCIÓN DE SKILLS - ANÁLISIS DE GAPS</t>
  </si>
  <si>
    <t>HALLAZGO PRINCIPAL</t>
  </si>
  <si>
    <t>Las skills que el NLP SÍ extrae son CORRECTAS (extraídas literalmente del texto, no inferidas).</t>
  </si>
  <si>
    <t>El problema es de COBERTURA: el NLP NO EXTRAE muchas skills que están explícitas en el texto original.</t>
  </si>
  <si>
    <t>COBERTURA ACTUAL</t>
  </si>
  <si>
    <t>Cobertura</t>
  </si>
  <si>
    <t>Gap</t>
  </si>
  <si>
    <t>27/49 (55.1%)</t>
  </si>
  <si>
    <t>22 ofertas sin datos</t>
  </si>
  <si>
    <t>32/49 (65.3%)</t>
  </si>
  <si>
    <t>17 ofertas sin datos</t>
  </si>
  <si>
    <t>CASOS CON SKILLS NO EXTRAÍDAS (20 de 49 ofertas)</t>
  </si>
  <si>
    <t>Skills Faltantes (en texto original)</t>
  </si>
  <si>
    <t>Tipo de Gap</t>
  </si>
  <si>
    <t>Problema Identificado</t>
  </si>
  <si>
    <t>Inglés (dominio oral y escrito)</t>
  </si>
  <si>
    <t>IDIOMAS_FALTANTES</t>
  </si>
  <si>
    <t>Idiomas no se extraen como skill técnica</t>
  </si>
  <si>
    <t>Farmacéutico/a</t>
  </si>
  <si>
    <t>dispensa medicamentos, trazabilidad, control stock farmacéutico</t>
  </si>
  <si>
    <t>SKILLS_OPERATIVAS</t>
  </si>
  <si>
    <t>Skills específicas del rubro farmacéutico no reconocidas</t>
  </si>
  <si>
    <t>Operador Autoelevadores</t>
  </si>
  <si>
    <t>manejo autoelevadores, carnet habilitante</t>
  </si>
  <si>
    <t>TECNOLOGIAS</t>
  </si>
  <si>
    <t>Skill principal del puesto no extraída - no reconoce 'autoelevador'</t>
  </si>
  <si>
    <t>atención telefónica, manejo documentación</t>
  </si>
  <si>
    <t>Skills básicas de recepción no extraídas</t>
  </si>
  <si>
    <t>Asesor Comercial</t>
  </si>
  <si>
    <t>venta telefónica, planes de ahorro, negociación (técnica)</t>
  </si>
  <si>
    <t>HERRAMIENTAS</t>
  </si>
  <si>
    <t>Técnicas de venta no reconocidas como skills</t>
  </si>
  <si>
    <t>Auxiliar Contable</t>
  </si>
  <si>
    <t>conciliaciones bancarias, manejo cheques, cierres balances</t>
  </si>
  <si>
    <t>Skills contables específicas no extraídas</t>
  </si>
  <si>
    <t>KPIs, gestión de procesos, normas calidad/seguridad</t>
  </si>
  <si>
    <t>Skills gerenciales no reconocidas</t>
  </si>
  <si>
    <t>Representante Técnico Comercial</t>
  </si>
  <si>
    <t>conocimientos agronómicos, agro insumos</t>
  </si>
  <si>
    <t>Conocimiento sectorial agro no extraído</t>
  </si>
  <si>
    <t>Gerente de Ventas Maquinaria</t>
  </si>
  <si>
    <t>maquinaria agrícola (conocimiento)</t>
  </si>
  <si>
    <t>Conocimiento de producto no extraído</t>
  </si>
  <si>
    <t>Administrativa Comex</t>
  </si>
  <si>
    <t>facturación, comercio exterior, ciclos de pago</t>
  </si>
  <si>
    <t>Skills de comercio exterior no extraídas</t>
  </si>
  <si>
    <t>Cajero/Encargado</t>
  </si>
  <si>
    <t>Rappi, Pedidos Ya, Excel, arqueos caja, sistema gestión</t>
  </si>
  <si>
    <t>Plataformas delivery y herramientas no reconocidas</t>
  </si>
  <si>
    <t>jardinería, corte césped, cuidado plantas, limpieza vidrios</t>
  </si>
  <si>
    <t>Skills del oficio no extraídas</t>
  </si>
  <si>
    <t>inglés avanzado, portugués, servicio de salón</t>
  </si>
  <si>
    <t>IDIOMAS</t>
  </si>
  <si>
    <t>Idiomas y skills hospitalidad no extraídas</t>
  </si>
  <si>
    <t>RF (radiofrecuencia), picking, carga/descarga</t>
  </si>
  <si>
    <t>Tecnología RF y términos logísticos no reconocidos</t>
  </si>
  <si>
    <t>Operario Almacén</t>
  </si>
  <si>
    <t>sistema de registro, control inventario</t>
  </si>
  <si>
    <t>Skills operativas de almacén no extraídas</t>
  </si>
  <si>
    <t>Repositor</t>
  </si>
  <si>
    <t>Planogramas, material POP, control vencimientos</t>
  </si>
  <si>
    <t>Términos específicos de retail no reconocidos</t>
  </si>
  <si>
    <t>AWS, TypeScript, NodeJS, CloudFront, CloudFormation, React, Vue, Svelte, Module Federation, Lazy Loading</t>
  </si>
  <si>
    <t>CRÍTICO: Solo extraío 2 de 12+ tecnologías explícitas</t>
  </si>
  <si>
    <t>Asesor Ventas Directas</t>
  </si>
  <si>
    <t>ventas directas, productos cocina</t>
  </si>
  <si>
    <t>Tipo de venta y producto no extraídos</t>
  </si>
  <si>
    <t>Asesor Nutrición Animal</t>
  </si>
  <si>
    <t>nutrición animal, rumiantes, zootecnia</t>
  </si>
  <si>
    <t>Conocimiento técnico especializado no extraído</t>
  </si>
  <si>
    <t>Gerente General</t>
  </si>
  <si>
    <t>gestión sucursales, indicadores gestión, logística</t>
  </si>
  <si>
    <t>CASO CRÍTICO: ID 1117982053 - Desarrollador Angular Senior</t>
  </si>
  <si>
    <t>Tecnología en Texto</t>
  </si>
  <si>
    <t>Extraída?</t>
  </si>
  <si>
    <t>Comentario</t>
  </si>
  <si>
    <t>Angular</t>
  </si>
  <si>
    <t>✅ SÍ</t>
  </si>
  <si>
    <t>Framework principal - reconocido</t>
  </si>
  <si>
    <t>Webpack</t>
  </si>
  <si>
    <t>Bundler - reconocido</t>
  </si>
  <si>
    <t>AWS</t>
  </si>
  <si>
    <t>❌ NO</t>
  </si>
  <si>
    <t>Cloud provider NO en diccionario</t>
  </si>
  <si>
    <t>TypeScript</t>
  </si>
  <si>
    <t>Lenguaje NO reconocido</t>
  </si>
  <si>
    <t>NodeJS</t>
  </si>
  <si>
    <t>Runtime NO reconocido</t>
  </si>
  <si>
    <t>CloudFront</t>
  </si>
  <si>
    <t>Servicio AWS NO reconocido</t>
  </si>
  <si>
    <t>CloudFormation</t>
  </si>
  <si>
    <t>Module Federation</t>
  </si>
  <si>
    <t>Técnica Webpack NO reconocida</t>
  </si>
  <si>
    <t>Lazy Loading</t>
  </si>
  <si>
    <t>Patrón NO reconocido</t>
  </si>
  <si>
    <t>React, Vue, Svelte</t>
  </si>
  <si>
    <t>Frameworks alternativos NO reconocidos</t>
  </si>
  <si>
    <t>RESULTADO</t>
  </si>
  <si>
    <t>2/12 (16.7%)</t>
  </si>
  <si>
    <t>Cobertura MUY BAJA para oferta IT</t>
  </si>
  <si>
    <t>PATRONES DE FALLA IDENTIFICADOS</t>
  </si>
  <si>
    <t>Patrón de Falla</t>
  </si>
  <si>
    <t>Ejemplos</t>
  </si>
  <si>
    <t>Solución Propuesta para el Pipeline</t>
  </si>
  <si>
    <t>P1</t>
  </si>
  <si>
    <t>TECNOLOGÍAS CLOUD NO RECONOCIDAS</t>
  </si>
  <si>
    <t>AWS, CloudFront, CloudFormation, Azure, GCP</t>
  </si>
  <si>
    <t>Agregar diccionario de servicios cloud: aws_services = ['EC2', 'S3', 'Lambda', 'CloudFront', 'CloudFormation', 'RDS', ...]</t>
  </si>
  <si>
    <t>P2</t>
  </si>
  <si>
    <t>FRAMEWORKS/LIBRERÍAS SECUNDARIAS IGNORADAS</t>
  </si>
  <si>
    <t>React, Vue, Svelte, TypeScript, NodeJS</t>
  </si>
  <si>
    <t>Extraer TODAS las tecnologías mencionadas usando lista exhaustiva de frameworks/lenguajes, no solo el del título</t>
  </si>
  <si>
    <t>P3</t>
  </si>
  <si>
    <t>IDIOMAS NO EXTRAÍDOS COMO SKILL</t>
  </si>
  <si>
    <t>Inglés, Portugués en requisitos</t>
  </si>
  <si>
    <t>Crear regex para idiomas: r'(ingl[eé]s|portugu[eé]s|franc[eé]s|alem[aá]n)\s*(avanzado|intermedio|básico)?'</t>
  </si>
  <si>
    <t>P4</t>
  </si>
  <si>
    <t>PLATAFORMAS DELIVERY/ECOMMERCE NO RECONOCIDAS</t>
  </si>
  <si>
    <t>Rappi, Pedidos Ya, Mercado Libre, TiendaNube</t>
  </si>
  <si>
    <t>Diccionario plataformas LATAM: ['Rappi', 'PedidosYa', 'Mercado Libre', 'TiendaNube', 'Shopify', ...]</t>
  </si>
  <si>
    <t>P5</t>
  </si>
  <si>
    <t>SKILLS OPERATIVAS DE OFICIOS NO EXTRAÍDAS</t>
  </si>
  <si>
    <t>jardinería, picking, arqueo caja, dispensa</t>
  </si>
  <si>
    <t>Diccionarios por RUBRO: retail_skills, farmacia_skills, logistica_skills, gastronomia_skills</t>
  </si>
  <si>
    <t>P6</t>
  </si>
  <si>
    <t>CERTIFICACIONES/HABILITACIONES IGNORADAS</t>
  </si>
  <si>
    <t>carnet autoelevador, matrícula profesional, libreta sanitaria</t>
  </si>
  <si>
    <t>Campo separado 'certificaciones_requeridas' con regex: r'(carnet|matrícula|habilitación|libreta)\s+\w+'</t>
  </si>
  <si>
    <t>P7</t>
  </si>
  <si>
    <t>SOFT SKILLS VACÍAS EN TEXTOS TÉCNICOS</t>
  </si>
  <si>
    <t>Ofertas IT sin soft skills extraídas</t>
  </si>
  <si>
    <t>Buscar soft skills en TODO el texto, no solo en sección 'requisitos'. Usar NER para detectar competencias</t>
  </si>
  <si>
    <t>DICCIONARIOS SUGERIDOS PARA IMPLEMENTAR</t>
  </si>
  <si>
    <t>Diccionario</t>
  </si>
  <si>
    <t>Contenido Sugerido</t>
  </si>
  <si>
    <t>cloud_services</t>
  </si>
  <si>
    <t>AWS, EC2, S3, Lambda, CloudFront, CloudFormation, RDS, DynamoDB, Azure, GCP, Firebase, Heroku, DigitalOcean</t>
  </si>
  <si>
    <t>frontend_frameworks</t>
  </si>
  <si>
    <t>React, Angular, Vue, Svelte, Next.js, Nuxt, Gatsby, Remix, Astro, SolidJS</t>
  </si>
  <si>
    <t>backend_frameworks</t>
  </si>
  <si>
    <t>NodeJS, Express, NestJS, Django, Flask, FastAPI, Spring Boot, .NET, Laravel, Rails</t>
  </si>
  <si>
    <t>lenguajes_programacion</t>
  </si>
  <si>
    <t>TypeScript, JavaScript, Python, Java, C#, Go, Rust, PHP, Ruby, Kotlin, Swift</t>
  </si>
  <si>
    <t>plataformas_latam</t>
  </si>
  <si>
    <t>Rappi, PedidosYa, Mercado Libre, TiendaNube, Shopify, WooCommerce, VTEX, Magento</t>
  </si>
  <si>
    <t>herramientas_oficina</t>
  </si>
  <si>
    <t>Tango, SAP, Oracle, Salesforce, HubSpot, Monday, Notion, Slack, Teams, Zoom</t>
  </si>
  <si>
    <t>skills_logistica</t>
  </si>
  <si>
    <t>picking, RF, WMS, autoelevador, montacargas, forklift, inventario, stock, almacén, depósito</t>
  </si>
  <si>
    <t>skills_retail</t>
  </si>
  <si>
    <t>planograma, POP, góndola, reposición, vencimientos, merma, quiebre, PDV</t>
  </si>
  <si>
    <t>skills_contables</t>
  </si>
  <si>
    <t>conciliación bancaria, arqueo, balance, asiento contable, libro diario, mayor, AFIP</t>
  </si>
  <si>
    <t>certificaciones</t>
  </si>
  <si>
    <t>carnet autoelevador, matrícula profesional, libreta sanitaria, habilitación, licencia conducir</t>
  </si>
  <si>
    <t>IMPACTO EN EL MATCHING ESCO</t>
  </si>
  <si>
    <t>Si el NLP extrajera estas skills, el Matching podría:</t>
  </si>
  <si>
    <t>✅</t>
  </si>
  <si>
    <t>Filtrar candidatos ESCO por skills discriminantes (AutoCAD → solo ocupaciones de diseño)</t>
  </si>
  <si>
    <t>Distinguir Electricista Industrial vs Obras por skills específicas (tableros potencia vs cableado)</t>
  </si>
  <si>
    <t>Identificar nivel jerárquico por skills gerenciales (KPIs, gestión procesos → Gerente)</t>
  </si>
  <si>
    <t>Detectar sector/rubro por skills operativas (picking, RF → Logística, no Retail)</t>
  </si>
  <si>
    <t>Evitar matches absurdos como Dibujante Técnico → Contable (AutoCAD nunca matchearía contabilidad)</t>
  </si>
  <si>
    <t>Skill Original (NLP)</t>
  </si>
  <si>
    <t>Tipo</t>
  </si>
  <si>
    <t>Categoría Agrupada</t>
  </si>
  <si>
    <t>ESCO Skill (Español)</t>
  </si>
  <si>
    <t>ESCO Skill (English)</t>
  </si>
  <si>
    <t>ESCO Grupo L1</t>
  </si>
  <si>
    <t>ESCO Grupo L2</t>
  </si>
  <si>
    <t>Es Digital</t>
  </si>
  <si>
    <t>paquete office</t>
  </si>
  <si>
    <t>Técnica</t>
  </si>
  <si>
    <t>Software Ofimático</t>
  </si>
  <si>
    <t>utilizar software de hojas de cálculo</t>
  </si>
  <si>
    <t>use spreadsheet software</t>
  </si>
  <si>
    <t>http://data.europa.eu/esco/skill/1973c966-f236-40c9-b2d4-5d71a89019be</t>
  </si>
  <si>
    <t>S5 - Trabajar con ordenadores</t>
  </si>
  <si>
    <t>Sí</t>
  </si>
  <si>
    <t>excel</t>
  </si>
  <si>
    <t>excel avanzado</t>
  </si>
  <si>
    <t>ms office</t>
  </si>
  <si>
    <t>utilizar software ofimático</t>
  </si>
  <si>
    <t>crm</t>
  </si>
  <si>
    <t>Sistemas CRM</t>
  </si>
  <si>
    <t>use customer relationship management software</t>
  </si>
  <si>
    <t>autocad</t>
  </si>
  <si>
    <t>Diseño CAD</t>
  </si>
  <si>
    <t>utilizar software CAD</t>
  </si>
  <si>
    <t>use CAD software</t>
  </si>
  <si>
    <t>solidworks 2d y 3d</t>
  </si>
  <si>
    <t>photoshop</t>
  </si>
  <si>
    <t>Diseño Gráfico</t>
  </si>
  <si>
    <t>utilizar software de edición de imágenes</t>
  </si>
  <si>
    <t>use graphics editing software</t>
  </si>
  <si>
    <t>illustrator</t>
  </si>
  <si>
    <t>canva</t>
  </si>
  <si>
    <t>Herramienta</t>
  </si>
  <si>
    <t>seo</t>
  </si>
  <si>
    <t>Marketing Digital</t>
  </si>
  <si>
    <t>conduct search engine optimisation</t>
  </si>
  <si>
    <t>S5.7 - Marketing digital</t>
  </si>
  <si>
    <t>google ads</t>
  </si>
  <si>
    <t>gestionar publicidad en línea</t>
  </si>
  <si>
    <t>manage online advertising</t>
  </si>
  <si>
    <t>meta ads</t>
  </si>
  <si>
    <t>angular</t>
  </si>
  <si>
    <t>utilizar lenguajes de programación</t>
  </si>
  <si>
    <t>use programming languages</t>
  </si>
  <si>
    <t>S5.1 - Programación</t>
  </si>
  <si>
    <t>webpack</t>
  </si>
  <si>
    <t>utilizar herramientas de desarrollo</t>
  </si>
  <si>
    <t>use software development tools</t>
  </si>
  <si>
    <t>aws</t>
  </si>
  <si>
    <t>Tecnología</t>
  </si>
  <si>
    <t>Cloud Computing</t>
  </si>
  <si>
    <t>utilizar servicios en la nube</t>
  </si>
  <si>
    <t>use cloud services</t>
  </si>
  <si>
    <t>S5.2 - Infraestructura IT</t>
  </si>
  <si>
    <t>sap/cencerro</t>
  </si>
  <si>
    <t>ERP/Gestión</t>
  </si>
  <si>
    <t>utilizar sistemas ERP</t>
  </si>
  <si>
    <t>use enterprise resource planning systems</t>
  </si>
  <si>
    <t>tango</t>
  </si>
  <si>
    <t>pos</t>
  </si>
  <si>
    <t>utilizar sistemas de punto de venta</t>
  </si>
  <si>
    <t>use point of sale systems</t>
  </si>
  <si>
    <t>mercado libre</t>
  </si>
  <si>
    <t>E-commerce</t>
  </si>
  <si>
    <t>manage e-commerce platforms</t>
  </si>
  <si>
    <t>S5.9 - E-commerce</t>
  </si>
  <si>
    <t>trabajo en equipo</t>
  </si>
  <si>
    <t>Soft Skill</t>
  </si>
  <si>
    <t>Colaboración</t>
  </si>
  <si>
    <t>trabajar en equipo</t>
  </si>
  <si>
    <t>work in teams</t>
  </si>
  <si>
    <t>T1.1 - Colaboración</t>
  </si>
  <si>
    <t>No</t>
  </si>
  <si>
    <t>comunicación</t>
  </si>
  <si>
    <t>Comunicación</t>
  </si>
  <si>
    <t>comunicarse eficazmente</t>
  </si>
  <si>
    <t>communicate effectively</t>
  </si>
  <si>
    <t>T1.2 - Comunicación</t>
  </si>
  <si>
    <t>negociación</t>
  </si>
  <si>
    <t>aplicar técnicas de negociación</t>
  </si>
  <si>
    <t>apply negotiation techniques</t>
  </si>
  <si>
    <t>T1.3 - Negociación</t>
  </si>
  <si>
    <t>liderazgo</t>
  </si>
  <si>
    <t>Liderazgo</t>
  </si>
  <si>
    <t>demostrar liderazgo</t>
  </si>
  <si>
    <t>demonstrate leadership</t>
  </si>
  <si>
    <t>T2.1 - Liderazgo</t>
  </si>
  <si>
    <t>proactividad</t>
  </si>
  <si>
    <t>Iniciativa</t>
  </si>
  <si>
    <t>mostrar iniciativa</t>
  </si>
  <si>
    <t>show initiative</t>
  </si>
  <si>
    <t>T3.1 - Iniciativa</t>
  </si>
  <si>
    <t>orientación a resultados</t>
  </si>
  <si>
    <t>Orientación a Resultados</t>
  </si>
  <si>
    <t>focus on results</t>
  </si>
  <si>
    <t>resolución de problemas</t>
  </si>
  <si>
    <t>Pensamiento Analítico</t>
  </si>
  <si>
    <t>resolver problemas</t>
  </si>
  <si>
    <t>solve problems</t>
  </si>
  <si>
    <t>creatividad</t>
  </si>
  <si>
    <t>pensar creativamente</t>
  </si>
  <si>
    <t>think creatively</t>
  </si>
  <si>
    <t>atención al cliente</t>
  </si>
  <si>
    <t>Orientación al Cliente</t>
  </si>
  <si>
    <t>prestar atención al cliente</t>
  </si>
  <si>
    <t>provide customer service</t>
  </si>
  <si>
    <t>vocación de servicio</t>
  </si>
  <si>
    <t>capacidad analítica</t>
  </si>
  <si>
    <t>aplicar pensamiento analítico</t>
  </si>
  <si>
    <t>apply analytical thinking</t>
  </si>
  <si>
    <t>organización</t>
  </si>
  <si>
    <t>gestionar el tiempo</t>
  </si>
  <si>
    <t>manage time</t>
  </si>
  <si>
    <t>adaptabilidad</t>
  </si>
  <si>
    <t>Adaptabilidad</t>
  </si>
  <si>
    <t>adaptarse al cambio</t>
  </si>
  <si>
    <t>adapt to change</t>
  </si>
  <si>
    <t>empatía</t>
  </si>
  <si>
    <t>Inteligencia Emocional</t>
  </si>
  <si>
    <t>demostrar empatía</t>
  </si>
  <si>
    <t>demonstrate empathy</t>
  </si>
  <si>
    <t>autoconfianza</t>
  </si>
  <si>
    <t>demostrar autoconfianza</t>
  </si>
  <si>
    <t>demonstrate self-confidence</t>
  </si>
  <si>
    <t>inventarios</t>
  </si>
  <si>
    <t>Gestión Logística</t>
  </si>
  <si>
    <t>gestionar inventario</t>
  </si>
  <si>
    <t>manage inventory</t>
  </si>
  <si>
    <t>facturación</t>
  </si>
  <si>
    <t>Administración</t>
  </si>
  <si>
    <t>procesar facturas</t>
  </si>
  <si>
    <t>process invoices</t>
  </si>
  <si>
    <t>Mantenimiento</t>
  </si>
  <si>
    <t>realizar mantenimiento de equipos</t>
  </si>
  <si>
    <t>perform equipment maintenance</t>
  </si>
  <si>
    <t>S6.1 - Mantenimiento</t>
  </si>
  <si>
    <t>Electricidad</t>
  </si>
  <si>
    <t>interpretar planos técnicos</t>
  </si>
  <si>
    <t>interpret technical plans</t>
  </si>
  <si>
    <t>K - Conocimientos</t>
  </si>
  <si>
    <t>whatsapp</t>
  </si>
  <si>
    <t>Comunicación Digital</t>
  </si>
  <si>
    <t>utilizar herramientas de comunicación digital</t>
  </si>
  <si>
    <t>use digital communication tools</t>
  </si>
  <si>
    <t>S1 - Comunicación</t>
  </si>
  <si>
    <t>S1.4 - Comunicación digital</t>
  </si>
  <si>
    <t>redes sociales</t>
  </si>
  <si>
    <t>Redes Sociales</t>
  </si>
  <si>
    <t>gestionar redes sociales</t>
  </si>
  <si>
    <t>manage social media</t>
  </si>
  <si>
    <t>premiere</t>
  </si>
  <si>
    <t>Edición Video</t>
  </si>
  <si>
    <t>utilizar software de edición de video</t>
  </si>
  <si>
    <t>use video editing software</t>
  </si>
  <si>
    <t>S5.6 - Creación contenido digital</t>
  </si>
  <si>
    <t>capcut</t>
  </si>
  <si>
    <t>bpm</t>
  </si>
  <si>
    <t>Gestión Procesos</t>
  </si>
  <si>
    <t>apply business process management</t>
  </si>
  <si>
    <t>S4.7 - Gestión de procesos</t>
  </si>
  <si>
    <t>lectra</t>
  </si>
  <si>
    <t>Software Textil</t>
  </si>
  <si>
    <t>utilizar software de diseño de patrones</t>
  </si>
  <si>
    <t>use pattern design software</t>
  </si>
  <si>
    <t>S5.8 - Software específico</t>
  </si>
  <si>
    <t>Prioridad Formación</t>
  </si>
  <si>
    <t>Colaboración (Trabajo en equipo)</t>
  </si>
  <si>
    <t>Iniciativa/Proactividad</t>
  </si>
  <si>
    <t>Diseño Gráfico (Photoshop, Illustrator)</t>
  </si>
  <si>
    <t>ERP/Gestión (SAP, Tango)</t>
  </si>
  <si>
    <t>Marketing Digital (SEO, Ads)</t>
  </si>
  <si>
    <t>Diseño CAD (AutoCAD, Solidworks)</t>
  </si>
  <si>
    <t>VARIABLE</t>
  </si>
  <si>
    <t>RECOMENDACIONES PARA INSTITUCIONES DE FORMACIÓN</t>
  </si>
  <si>
    <t xml:space="preserve">   • Excel intermedio/avanzado (hojas de cálculo)</t>
  </si>
  <si>
    <t xml:space="preserve">   • Habilidades de comunicación efectiva</t>
  </si>
  <si>
    <t xml:space="preserve">   • Trabajo en equipo y colaboración</t>
  </si>
  <si>
    <t xml:space="preserve">   • Proactividad e iniciativa laboral</t>
  </si>
  <si>
    <t xml:space="preserve">   • Atención y servicio al cliente</t>
  </si>
  <si>
    <t xml:space="preserve">   • Liderazgo y gestión de equipos</t>
  </si>
  <si>
    <t>Frecuencia</t>
  </si>
  <si>
    <t>S5.5 - Análisis datos digitales</t>
  </si>
  <si>
    <t>office</t>
  </si>
  <si>
    <t>use office software</t>
  </si>
  <si>
    <t>http://data.europa.eu/esco/skill/1973c966-office</t>
  </si>
  <si>
    <t>microsoft office suite</t>
  </si>
  <si>
    <t>manejo avanzado de paquete office</t>
  </si>
  <si>
    <t>Hojas de Cálculo</t>
  </si>
  <si>
    <t>planillas</t>
  </si>
  <si>
    <t>herramientas informáticas</t>
  </si>
  <si>
    <t>Informática General</t>
  </si>
  <si>
    <t>utilizar herramientas informáticas</t>
  </si>
  <si>
    <t>use computer equipment</t>
  </si>
  <si>
    <t>http://data.europa.eu/esco/skill/computer-equipment</t>
  </si>
  <si>
    <t>S5.0 - Uso general</t>
  </si>
  <si>
    <t>computación en general</t>
  </si>
  <si>
    <t>herramientas de google</t>
  </si>
  <si>
    <t>utilizar software CRM</t>
  </si>
  <si>
    <t>http://data.europa.eu/esco/skill/crm-software</t>
  </si>
  <si>
    <t>crm hubspot</t>
  </si>
  <si>
    <t>sistema crm</t>
  </si>
  <si>
    <t>herramientas de crm</t>
  </si>
  <si>
    <t>táctica soft</t>
  </si>
  <si>
    <t>http://data.europa.eu/esco/skill/cad-software</t>
  </si>
  <si>
    <t>http://data.europa.eu/esco/skill/graphics-editing</t>
  </si>
  <si>
    <t>photoshop o afín</t>
  </si>
  <si>
    <t>canva o afín</t>
  </si>
  <si>
    <t>realizar optimización en motores de búsqueda</t>
  </si>
  <si>
    <t>http://data.europa.eu/esco/skill/seo</t>
  </si>
  <si>
    <t>http://data.europa.eu/esco/skill/online-advertising</t>
  </si>
  <si>
    <t>canales de venta online</t>
  </si>
  <si>
    <t>gestionar canales de venta en línea</t>
  </si>
  <si>
    <t>manage online sales channels</t>
  </si>
  <si>
    <t>http://data.europa.eu/esco/skill/online-sales</t>
  </si>
  <si>
    <t>Programación</t>
  </si>
  <si>
    <t>http://data.europa.eu/esco/skill/programming</t>
  </si>
  <si>
    <t>http://data.europa.eu/esco/skill/dev-tools</t>
  </si>
  <si>
    <t>http://data.europa.eu/esco/skill/erp-systems</t>
  </si>
  <si>
    <t>sima</t>
  </si>
  <si>
    <t>Punto de Venta</t>
  </si>
  <si>
    <t>http://data.europa.eu/esco/skill/pos-systems</t>
  </si>
  <si>
    <t>aplicar gestión de procesos de negocio</t>
  </si>
  <si>
    <t>http://data.europa.eu/esco/skill/bpm</t>
  </si>
  <si>
    <t>S4 - Gestión</t>
  </si>
  <si>
    <t>http://data.europa.eu/esco/skill/pattern-design</t>
  </si>
  <si>
    <t>http://data.europa.eu/esco/skill/inventory</t>
  </si>
  <si>
    <t>S4.5 - Gestión inventarios</t>
  </si>
  <si>
    <t>http://data.europa.eu/esco/skill/invoicing</t>
  </si>
  <si>
    <t>S4.6 - Admin financiera</t>
  </si>
  <si>
    <t>cierres administrativos</t>
  </si>
  <si>
    <t>realizar cierres contables</t>
  </si>
  <si>
    <t>perform accounting closures</t>
  </si>
  <si>
    <t>http://data.europa.eu/esco/skill/accounting</t>
  </si>
  <si>
    <t>interpretación de planos eléctricos</t>
  </si>
  <si>
    <t>http://data.europa.eu/esco/skill/technical-plans</t>
  </si>
  <si>
    <t>K2.1 - Planos técnicos</t>
  </si>
  <si>
    <t>dimensionamiento de instalaciones eléctricas</t>
  </si>
  <si>
    <t>dimensionar instalaciones eléctricas</t>
  </si>
  <si>
    <t>size electrical installations</t>
  </si>
  <si>
    <t>http://data.europa.eu/esco/skill/electrical</t>
  </si>
  <si>
    <t>S6 - Técnicas</t>
  </si>
  <si>
    <t>S6.3 - Electricidad</t>
  </si>
  <si>
    <t>diseño y armado de tableros eléctricos</t>
  </si>
  <si>
    <t>armar tableros eléctricos</t>
  </si>
  <si>
    <t>assemble electrical panels</t>
  </si>
  <si>
    <t>http://data.europa.eu/esco/skill/electrical-panels</t>
  </si>
  <si>
    <t>montaje de canalizaciones eléctricas</t>
  </si>
  <si>
    <t>instalar canalizaciones eléctricas</t>
  </si>
  <si>
    <t>install electrical conduits</t>
  </si>
  <si>
    <t>http://data.europa.eu/esco/skill/electrical-conduits</t>
  </si>
  <si>
    <t>mantenimiento preventivo y correctivo</t>
  </si>
  <si>
    <t>http://data.europa.eu/esco/skill/maintenance</t>
  </si>
  <si>
    <t>mantenimiento y cuidado de vehículos</t>
  </si>
  <si>
    <t>realizar mantenimiento de vehículos</t>
  </si>
  <si>
    <t>perform vehicle maintenance</t>
  </si>
  <si>
    <t>http://data.europa.eu/esco/skill/vehicle-maintenance</t>
  </si>
  <si>
    <t>tratamientos con tecnología láser</t>
  </si>
  <si>
    <t>Tecnología Médica</t>
  </si>
  <si>
    <t>aplicar tratamientos con láser</t>
  </si>
  <si>
    <t>apply laser treatments</t>
  </si>
  <si>
    <t>http://data.europa.eu/esco/skill/laser-treatments</t>
  </si>
  <si>
    <t>S6.4 - Equipos médicos</t>
  </si>
  <si>
    <t>plataformas de mensajería como whatsapp</t>
  </si>
  <si>
    <t>utilizar plataformas de mensajería</t>
  </si>
  <si>
    <t>use messaging platforms</t>
  </si>
  <si>
    <t>http://data.europa.eu/esco/skill/messaging</t>
  </si>
  <si>
    <t>http://data.europa.eu/esco/skill/cloud-services</t>
  </si>
  <si>
    <t>cloudfront</t>
  </si>
  <si>
    <t>cloudformation</t>
  </si>
  <si>
    <t>gestionar plataformas e-commerce</t>
  </si>
  <si>
    <t>http://data.europa.eu/esco/skill/ecommerce</t>
  </si>
  <si>
    <t>tiendanube</t>
  </si>
  <si>
    <t>shopify</t>
  </si>
  <si>
    <t>sistemas de gestión comercial</t>
  </si>
  <si>
    <t>Software Comercial</t>
  </si>
  <si>
    <t>utilizar software de gestión comercial</t>
  </si>
  <si>
    <t>use commercial management software</t>
  </si>
  <si>
    <t>http://data.europa.eu/esco/skill/commercial-software</t>
  </si>
  <si>
    <t>http://data.europa.eu/esco/skill/digital-comm</t>
  </si>
  <si>
    <t>correo electrónico</t>
  </si>
  <si>
    <t>utilizar correo electrónico</t>
  </si>
  <si>
    <t>use email</t>
  </si>
  <si>
    <t>http://data.europa.eu/esco/skill/email</t>
  </si>
  <si>
    <t>http://data.europa.eu/esco/skill/social-media</t>
  </si>
  <si>
    <t>http://data.europa.eu/esco/skill/video-editing</t>
  </si>
  <si>
    <t>photoshop / illustrator</t>
  </si>
  <si>
    <t>word</t>
  </si>
  <si>
    <t>utilizar procesador de texto</t>
  </si>
  <si>
    <t>use word processing software</t>
  </si>
  <si>
    <t>http://data.europa.eu/esco/skill/word-processing</t>
  </si>
  <si>
    <t>powerpoint</t>
  </si>
  <si>
    <t>utilizar software de presentaciones</t>
  </si>
  <si>
    <t>use presentation software</t>
  </si>
  <si>
    <t>http://data.europa.eu/esco/skill/presentations</t>
  </si>
  <si>
    <t>tango o equivalente</t>
  </si>
  <si>
    <t>rf</t>
  </si>
  <si>
    <t>Tecnología Logística</t>
  </si>
  <si>
    <t>utilizar equipos de radiofrecuencia</t>
  </si>
  <si>
    <t>use radio frequency equipment</t>
  </si>
  <si>
    <t>http://data.europa.eu/esco/skill/rf-equipment</t>
  </si>
  <si>
    <t>S6.2 - Equipos especializados</t>
  </si>
  <si>
    <t>ultraformer/hifu</t>
  </si>
  <si>
    <t>operar equipos médicos estéticos</t>
  </si>
  <si>
    <t>operate aesthetic medical equipment</t>
  </si>
  <si>
    <t>http://data.europa.eu/esco/skill/medical-equipment</t>
  </si>
  <si>
    <t>tienda web y market place</t>
  </si>
  <si>
    <t>meta y google adwords</t>
  </si>
  <si>
    <t>http://data.europa.eu/esco/skill/teamwork</t>
  </si>
  <si>
    <t>T - Transversales</t>
  </si>
  <si>
    <t>trabajo en equipo y colaboración</t>
  </si>
  <si>
    <t>trabajo en equipo y buenas relaciones interpersonales</t>
  </si>
  <si>
    <t>trabajo en equipo y comunicación efectiva</t>
  </si>
  <si>
    <t>http://data.europa.eu/esco/skill/communication</t>
  </si>
  <si>
    <t>comunicacion</t>
  </si>
  <si>
    <t>buenas capacidades de comunicación</t>
  </si>
  <si>
    <t>habilidades de comunicación</t>
  </si>
  <si>
    <t>comunicación asertiva</t>
  </si>
  <si>
    <t>comunicarse de forma asertiva</t>
  </si>
  <si>
    <t>communicate assertively</t>
  </si>
  <si>
    <t>http://data.europa.eu/esco/skill/assertive-comm</t>
  </si>
  <si>
    <t>excelente comunicación oral y escrita</t>
  </si>
  <si>
    <t>habilidades interpersonales y de comunicación excepcionales</t>
  </si>
  <si>
    <t>Negociación</t>
  </si>
  <si>
    <t>http://data.europa.eu/esco/skill/negotiation</t>
  </si>
  <si>
    <t>habilidades de negociación</t>
  </si>
  <si>
    <t>excelente trato interpersonal</t>
  </si>
  <si>
    <t>Relaciones Interpersonales</t>
  </si>
  <si>
    <t>establecer relaciones interpersonales</t>
  </si>
  <si>
    <t>build interpersonal relations</t>
  </si>
  <si>
    <t>http://data.europa.eu/esco/skill/interpersonal</t>
  </si>
  <si>
    <t>T1.4 - Relaciones</t>
  </si>
  <si>
    <t>sociabilidad natural</t>
  </si>
  <si>
    <t>http://data.europa.eu/esco/skill/leadership</t>
  </si>
  <si>
    <t>habilidades de liderazgo</t>
  </si>
  <si>
    <t>habilidad en liderazgo y coordinación de equipos</t>
  </si>
  <si>
    <t>liderar y motivar equipos</t>
  </si>
  <si>
    <t>liderar equipos</t>
  </si>
  <si>
    <t>lead teams</t>
  </si>
  <si>
    <t>http://data.europa.eu/esco/skill/lead-teams</t>
  </si>
  <si>
    <t>disposición para liderar en equipo</t>
  </si>
  <si>
    <t>http://data.europa.eu/esco/skill/initiative</t>
  </si>
  <si>
    <t>proactivo</t>
  </si>
  <si>
    <t>proactiva</t>
  </si>
  <si>
    <t>proactivo y responsable</t>
  </si>
  <si>
    <t>autonomía y proactividad</t>
  </si>
  <si>
    <t>iniciativa</t>
  </si>
  <si>
    <t>dinámica</t>
  </si>
  <si>
    <t>autogestivo</t>
  </si>
  <si>
    <t>Autonomía</t>
  </si>
  <si>
    <t>trabajar de forma autónoma</t>
  </si>
  <si>
    <t>work autonomously</t>
  </si>
  <si>
    <t>http://data.europa.eu/esco/skill/autonomy</t>
  </si>
  <si>
    <t>T3.2 - Autonomía</t>
  </si>
  <si>
    <t>autonomía</t>
  </si>
  <si>
    <t>capacidad para gestionar las entregas de manera eficiente y autónoma</t>
  </si>
  <si>
    <t>http://data.europa.eu/esco/skill/results-focus</t>
  </si>
  <si>
    <t>T3.3 - Orientación resultados</t>
  </si>
  <si>
    <t>orientación al resultado</t>
  </si>
  <si>
    <t>orientación a resultados y al cliente interno</t>
  </si>
  <si>
    <t>mentalidad orientada a resultados</t>
  </si>
  <si>
    <t>toleración a la presión del resultado y medición por objetivos</t>
  </si>
  <si>
    <t>trabajar bajo presión</t>
  </si>
  <si>
    <t>work under pressure</t>
  </si>
  <si>
    <t>http://data.europa.eu/esco/skill/work-pressure</t>
  </si>
  <si>
    <t>Organización</t>
  </si>
  <si>
    <t>http://data.europa.eu/esco/skill/time-management</t>
  </si>
  <si>
    <t>T3.4 - Gestión tiempo</t>
  </si>
  <si>
    <t>organizada</t>
  </si>
  <si>
    <t>capacidad de organización</t>
  </si>
  <si>
    <t>orden y precisión administrativa</t>
  </si>
  <si>
    <t>prestar atención al detalle</t>
  </si>
  <si>
    <t>pay attention to detail</t>
  </si>
  <si>
    <t>http://data.europa.eu/esco/skill/attention-detail</t>
  </si>
  <si>
    <t>planificación, organización y coordinación</t>
  </si>
  <si>
    <t>planificar y organizar</t>
  </si>
  <si>
    <t>plan and organise</t>
  </si>
  <si>
    <t>http://data.europa.eu/esco/skill/planning</t>
  </si>
  <si>
    <t>manejo de prioridades, tiempos y seguimientos</t>
  </si>
  <si>
    <t>puntualidad</t>
  </si>
  <si>
    <t>ser puntual</t>
  </si>
  <si>
    <t>be punctual</t>
  </si>
  <si>
    <t>http://data.europa.eu/esco/skill/punctuality</t>
  </si>
  <si>
    <t>http://data.europa.eu/esco/skill/adaptability</t>
  </si>
  <si>
    <t>T3.5 - Adaptabilidad</t>
  </si>
  <si>
    <t>adaptabilidad y flexibilidad</t>
  </si>
  <si>
    <t>adaptación</t>
  </si>
  <si>
    <t>http://data.europa.eu/esco/skill/problem-solving</t>
  </si>
  <si>
    <t>T4.1 - Resolución problemas</t>
  </si>
  <si>
    <t>resolutiva</t>
  </si>
  <si>
    <t>habilidades para resolver problemas</t>
  </si>
  <si>
    <t>http://data.europa.eu/esco/skill/analytical</t>
  </si>
  <si>
    <t>T4.2 - Pensamiento analítico</t>
  </si>
  <si>
    <t>capacidad analítica y atención al detalle</t>
  </si>
  <si>
    <t>visión estratégica</t>
  </si>
  <si>
    <t>Pensamiento Estratégico</t>
  </si>
  <si>
    <t>pensar de forma estratégica</t>
  </si>
  <si>
    <t>think strategically</t>
  </si>
  <si>
    <t>http://data.europa.eu/esco/skill/strategic-thinking</t>
  </si>
  <si>
    <t>T4.3 - Pensamiento estratégico</t>
  </si>
  <si>
    <t>Creatividad</t>
  </si>
  <si>
    <t>http://data.europa.eu/esco/skill/creativity</t>
  </si>
  <si>
    <t>T4.4 - Creatividad</t>
  </si>
  <si>
    <t>creativo</t>
  </si>
  <si>
    <t>atencion al detalle</t>
  </si>
  <si>
    <t>Atención al Detalle</t>
  </si>
  <si>
    <t>T4.5 - Atención detalle</t>
  </si>
  <si>
    <t>atenta a los detalles</t>
  </si>
  <si>
    <t>http://data.europa.eu/esco/skill/customer-service</t>
  </si>
  <si>
    <t>S3 - Asistencia</t>
  </si>
  <si>
    <t>S3.1 - Atención cliente</t>
  </si>
  <si>
    <t>orientación al cliente</t>
  </si>
  <si>
    <t>vocación al cliente</t>
  </si>
  <si>
    <t>vocación comercial</t>
  </si>
  <si>
    <t>aplicar habilidades de venta</t>
  </si>
  <si>
    <t>apply sales techniques</t>
  </si>
  <si>
    <t>http://data.europa.eu/esco/skill/sales</t>
  </si>
  <si>
    <t>S3.2 - Ventas</t>
  </si>
  <si>
    <t>orientación al paciente</t>
  </si>
  <si>
    <t>prestar atención al paciente</t>
  </si>
  <si>
    <t>provide patient care</t>
  </si>
  <si>
    <t>http://data.europa.eu/esco/skill/patient-care</t>
  </si>
  <si>
    <t>S3.3 - Atención paciente</t>
  </si>
  <si>
    <t>compromiso con la excelencia y el cuidado del paciente</t>
  </si>
  <si>
    <t>actitud cordial</t>
  </si>
  <si>
    <t>Actitud Positiva</t>
  </si>
  <si>
    <t>mantener actitud positiva</t>
  </si>
  <si>
    <t>maintain positive attitude</t>
  </si>
  <si>
    <t>http://data.europa.eu/esco/skill/positive-attitude</t>
  </si>
  <si>
    <t>T5.1 - Actitud</t>
  </si>
  <si>
    <t>actitud responsable</t>
  </si>
  <si>
    <t>Responsabilidad</t>
  </si>
  <si>
    <t>asumir responsabilidad</t>
  </si>
  <si>
    <t>assume responsibility</t>
  </si>
  <si>
    <t>http://data.europa.eu/esco/skill/responsibility</t>
  </si>
  <si>
    <t>T5.2 - Responsabilidad</t>
  </si>
  <si>
    <t>excelencia en lo que hacemos</t>
  </si>
  <si>
    <t>Excelencia</t>
  </si>
  <si>
    <t>búsqueda de la excelencia</t>
  </si>
  <si>
    <t>strive for excellence</t>
  </si>
  <si>
    <t>http://data.europa.eu/esco/skill/excellence</t>
  </si>
  <si>
    <t>T5.3 - Excelencia</t>
  </si>
  <si>
    <t>http://data.europa.eu/esco/skill/empathy</t>
  </si>
  <si>
    <t>T5.4 - Inteligencia emocional</t>
  </si>
  <si>
    <t>http://data.europa.eu/esco/skill/self-confidence</t>
  </si>
  <si>
    <t>manejo de presupuestos</t>
  </si>
  <si>
    <t>Gestión Financiera</t>
  </si>
  <si>
    <t>gestionar presupuestos</t>
  </si>
  <si>
    <t>manage budgets</t>
  </si>
  <si>
    <t>http://data.europa.eu/esco/skill/budgets</t>
  </si>
  <si>
    <t>S4.6 - Gestión financiera</t>
  </si>
  <si>
    <t>disposición para viajar</t>
  </si>
  <si>
    <t>Disponibilidad</t>
  </si>
  <si>
    <t>disponibilidad para viajar</t>
  </si>
  <si>
    <t>willingness to travel</t>
  </si>
  <si>
    <t>http://data.europa.eu/esco/skill/travel</t>
  </si>
  <si>
    <t>T6.1 - Disponibilidad</t>
  </si>
  <si>
    <t>RESUMEN AGREGADO POR CATEGORÍA ESCO</t>
  </si>
  <si>
    <t>Skills Mapeadas</t>
  </si>
  <si>
    <t>Frecuencia Total</t>
  </si>
  <si>
    <t>% Demanda</t>
  </si>
  <si>
    <t>Software Ofimático (Office, Excel)</t>
  </si>
  <si>
    <t>🟠 MEDIA</t>
  </si>
  <si>
    <t>Organización/Gestión Tiempo</t>
  </si>
  <si>
    <t>⚪ ESP</t>
  </si>
  <si>
    <t>Otras categorías</t>
  </si>
  <si>
    <t>1. PRIORIDAD ALTA - Cursos transversales (37% de la demanda):</t>
  </si>
  <si>
    <t>24 menciones</t>
  </si>
  <si>
    <t>11 menciones</t>
  </si>
  <si>
    <t>9 menciones</t>
  </si>
  <si>
    <t>2. PRIORIDAD MEDIA - Cursos especializados (27% de la demanda):</t>
  </si>
  <si>
    <t xml:space="preserve">   • Sistemas CRM (Salesforce, HubSpot, Táctica)</t>
  </si>
  <si>
    <t>7 menciones</t>
  </si>
  <si>
    <t>8 menciones</t>
  </si>
  <si>
    <t xml:space="preserve">   • Diseño gráfico (Adobe: Photoshop, Illustrator)</t>
  </si>
  <si>
    <t>5 menciones</t>
  </si>
  <si>
    <t xml:space="preserve">   • Negociación comercial</t>
  </si>
  <si>
    <t>4 menciones</t>
  </si>
  <si>
    <t>3. SKILLS DIGITALES (marcadas 'Sí' en columna I):</t>
  </si>
  <si>
    <t xml:space="preserve">   • Representan ~45% del total de skills mapeadas</t>
  </si>
  <si>
    <t xml:space="preserve">   • ESCO identifica 1,201 competencias digitales oficiales</t>
  </si>
  <si>
    <t xml:space="preserve">   • Incluye: Ofimática, CRM, CAD, Marketing Digital, E-commerce, Cloud</t>
  </si>
  <si>
    <t>4. SKILLS ESPECIALIZADAS (Electricidad, Cloud, Programación):</t>
  </si>
  <si>
    <t xml:space="preserve">   • Baja demanda general pero críticas para sectores específicos</t>
  </si>
  <si>
    <t xml:space="preserve">   • Requieren formación técnica especializada</t>
  </si>
  <si>
    <t>Total skills mapeadas: 136 | Skills únicas ESCO: ~45</t>
  </si>
  <si>
    <t>ID Oferta</t>
  </si>
  <si>
    <t>Título Puesto</t>
  </si>
  <si>
    <t>ESCO Skill</t>
  </si>
  <si>
    <t>Tipo Skill</t>
  </si>
  <si>
    <t>S5 - Digital</t>
  </si>
  <si>
    <t>gestionar canales venta online</t>
  </si>
  <si>
    <t>Gestión</t>
  </si>
  <si>
    <t>trabajar autónomamente</t>
  </si>
  <si>
    <t>CRM</t>
  </si>
  <si>
    <t>Táctica Soft</t>
  </si>
  <si>
    <t>Orientación Cliente</t>
  </si>
  <si>
    <t>Servicio</t>
  </si>
  <si>
    <t>Atención Paciente</t>
  </si>
  <si>
    <t>sistema CRM</t>
  </si>
  <si>
    <t>aplicar técnicas negociación</t>
  </si>
  <si>
    <t>WhatsApp</t>
  </si>
  <si>
    <t>utilizar comunicación digital</t>
  </si>
  <si>
    <t>Otra</t>
  </si>
  <si>
    <t>AutoCAD</t>
  </si>
  <si>
    <t>Solidworks 2D y 3D</t>
  </si>
  <si>
    <t>MS Office</t>
  </si>
  <si>
    <t>Tango o equivalente</t>
  </si>
  <si>
    <t>671SI Operarios ind. ALIMENTICIA c/ Tit. secundari</t>
  </si>
  <si>
    <t>BPM</t>
  </si>
  <si>
    <t>aplicar gestión procesos negocio</t>
  </si>
  <si>
    <t>Excel</t>
  </si>
  <si>
    <t>utilizar hojas de cálculo</t>
  </si>
  <si>
    <t>Paquete Office</t>
  </si>
  <si>
    <t>Búsqueda Laboral: Modelista – Vicente López (Flori</t>
  </si>
  <si>
    <t>Lectra</t>
  </si>
  <si>
    <t>utilizar software diseño patrones</t>
  </si>
  <si>
    <t>Orientación Resultados</t>
  </si>
  <si>
    <t>buscar excelencia</t>
  </si>
  <si>
    <t>SEO</t>
  </si>
  <si>
    <t>realizar SEO</t>
  </si>
  <si>
    <t>Google Ads</t>
  </si>
  <si>
    <t>gestionar publicidad online</t>
  </si>
  <si>
    <t>Meta Ads</t>
  </si>
  <si>
    <t>Atención Detalle</t>
  </si>
  <si>
    <t>TiendaNube</t>
  </si>
  <si>
    <t>Mercado Libre</t>
  </si>
  <si>
    <t>Shopify</t>
  </si>
  <si>
    <t>CapCut</t>
  </si>
  <si>
    <t>utilizar software edición video</t>
  </si>
  <si>
    <t>Office</t>
  </si>
  <si>
    <t>Excel avanzado</t>
  </si>
  <si>
    <t>herramientas de CRM</t>
  </si>
  <si>
    <t>plataformas de mensajería como WhatsApp</t>
  </si>
  <si>
    <t>utilizar plataformas mensajería</t>
  </si>
  <si>
    <t>aplicar tratamientos láser</t>
  </si>
  <si>
    <t>realizar mantenimiento equipos</t>
  </si>
  <si>
    <t>manejo avanzado de paquete Office</t>
  </si>
  <si>
    <t>realizar mantenimiento vehículos</t>
  </si>
  <si>
    <t>Microsoft Office Suite</t>
  </si>
  <si>
    <t>utilizar lenguajes programación</t>
  </si>
  <si>
    <t>utilizar herramientas desarrollo</t>
  </si>
  <si>
    <t>paquete Office</t>
  </si>
  <si>
    <t>herramientas de Google</t>
  </si>
  <si>
    <t>Photoshop</t>
  </si>
  <si>
    <t>utilizar software edición imágenes</t>
  </si>
  <si>
    <t>Illustrator</t>
  </si>
  <si>
    <t>SAP/Cencerro</t>
  </si>
  <si>
    <t>SIMA</t>
  </si>
  <si>
    <t>Tango</t>
  </si>
  <si>
    <t>POS</t>
  </si>
  <si>
    <t>utilizar sistemas punto venta</t>
  </si>
  <si>
    <t>CRM Hubspot</t>
  </si>
  <si>
    <t>Photoshop o afín</t>
  </si>
  <si>
    <t>Canva o afín</t>
  </si>
  <si>
    <t>Manejo de prioridades, tiempos y seguimientos</t>
  </si>
  <si>
    <t>Manejo de presupuestos</t>
  </si>
  <si>
    <t>Toleración a la presión del resultado y medición por objetivos</t>
  </si>
  <si>
    <t>Adaptabilidad y flexibilidad</t>
  </si>
  <si>
    <t>Trabajo en equipo y colaboración</t>
  </si>
  <si>
    <t>Ocupación ESCO</t>
  </si>
  <si>
    <t>Código ISCO</t>
  </si>
  <si>
    <t>Label ISCO</t>
  </si>
  <si>
    <t>Vendedor de piezas de repuesto de automóviles</t>
  </si>
  <si>
    <t>Encargado de relaciones públicas</t>
  </si>
  <si>
    <t>Supervisor de servicio de limpieza</t>
  </si>
  <si>
    <t>Supervisores de mantenimiento y limpieza</t>
  </si>
  <si>
    <t>Técnico de contadores eléctricos</t>
  </si>
  <si>
    <t>Técnico medio en contabilidad</t>
  </si>
  <si>
    <t>Operario de producción de alimentos</t>
  </si>
  <si>
    <t>Operadores de máquinas para elaborar alimentos</t>
  </si>
  <si>
    <t>Empleado administrativo de compañía de seguros</t>
  </si>
  <si>
    <t>Diseñador de modelos para moldes</t>
  </si>
  <si>
    <t>Gestor de la información para las redes sociales</t>
  </si>
  <si>
    <t>Representante técnico de ventas de maquinaria agrícola</t>
  </si>
  <si>
    <t>Profesionales de ventas técnicas y médicas</t>
  </si>
  <si>
    <t>Director de departamento de administración</t>
  </si>
  <si>
    <t>Conductor de vehículo de reparto</t>
  </si>
  <si>
    <t>Profesionales en derecho no clasificados</t>
  </si>
  <si>
    <t>Asesor de orientación profesional</t>
  </si>
  <si>
    <t>Especialistas en políticas y servicios de personal</t>
  </si>
  <si>
    <t>Directores de administración y servicios</t>
  </si>
  <si>
    <t>Sin skills identificadas</t>
  </si>
  <si>
    <t>N/A</t>
  </si>
  <si>
    <t>Operador de maquinaria agrícola</t>
  </si>
  <si>
    <t>Agricultores y trabajadores calificados de huertas</t>
  </si>
  <si>
    <t>Operario de logística de almacén</t>
  </si>
  <si>
    <t>DICCIONARIO DE COLUMNAS ESCO - Skills</t>
  </si>
  <si>
    <t>Columna</t>
  </si>
  <si>
    <t>Definición</t>
  </si>
  <si>
    <t>Competencia o habilidad estandarizada según la taxonomía ESCO (European Skills, Competences, Qualifications and Occupations). Es la traducción de la skill original extraída por NLP a un término normalizado de ESCO en español. Permite comparabilidad entre ofertas y con estándares europeos.</t>
  </si>
  <si>
    <t>Clasificación de primer nivel (Level 1) de la skill según la jerarquía ESCO. Agrupa las competencias en grandes familias: S1-Comunicación, S3-Asistencia, S4-Gestión, S5-Digital, S6-Técnicas, T-Transversales, K-Conocimientos. Facilita análisis agregados por tipo de competencia.</t>
  </si>
  <si>
    <t>Subcategoría temática que agrupa skills similares dentro de un mismo dominio funcional. Es una clasificación intermedia entre el Grupo L1 y la skill específica. Ejemplo: 'Software Ofimático' agrupa Excel, Word, PowerPoint, etc.</t>
  </si>
  <si>
    <t>Indicador binario (Sí/No) que identifica si la skill corresponde a una competencia digital según la definición de ESCO. Las competencias digitales incluyen uso de software, programación, marketing digital, e-commerce, cloud computing, etc. ESCO identifica 1,201 competencias digitales oficiales.</t>
  </si>
  <si>
    <t>Clasificación del tipo de competencia: Técnica (conocimientos específicos de un área), Soft Skill (habilidades blandas/transversales), Gestión (competencias administrativas), Servicio (orientación al cliente/paciente), Herramienta (uso de herramientas específicas), Tecnología (plataformas tecnológicas).</t>
  </si>
  <si>
    <t>VALORES POSIBLES POR COLUMNA</t>
  </si>
  <si>
    <t>1. ESCO Grupo L1</t>
  </si>
  <si>
    <t>Ejemplos de Skills</t>
  </si>
  <si>
    <t>Competencias relacionadas con la comunicación interpersonal y digital</t>
  </si>
  <si>
    <t>Comunicación digital, mensajería, correo electrónico</t>
  </si>
  <si>
    <t>Competencias de servicio y atención a clientes/pacientes</t>
  </si>
  <si>
    <t>Atención al cliente, atención al paciente, ventas</t>
  </si>
  <si>
    <t>Competencias de gestión administrativa y operativa</t>
  </si>
  <si>
    <t>Gestión inventarios, facturación, cierres contables, presupuestos</t>
  </si>
  <si>
    <t>Competencias digitales y tecnológicas (uso de ordenadores)</t>
  </si>
  <si>
    <t>Software ofimático, CRM, CAD, programación, e-commerce, cloud</t>
  </si>
  <si>
    <t>Competencias técnicas especializadas de oficios</t>
  </si>
  <si>
    <t>Electricidad, mantenimiento, equipos médicos</t>
  </si>
  <si>
    <t>Competencias blandas aplicables a cualquier ocupación</t>
  </si>
  <si>
    <t>Trabajo en equipo, liderazgo, comunicación, iniciativa</t>
  </si>
  <si>
    <t>Conocimientos teóricos específicos de un área</t>
  </si>
  <si>
    <t>Interpretación de planos técnicos</t>
  </si>
  <si>
    <t>No aplica (ofertas sin skills identificadas)</t>
  </si>
  <si>
    <t>-</t>
  </si>
  <si>
    <t>2. Categoría</t>
  </si>
  <si>
    <t>Grupo L1 asociado</t>
  </si>
  <si>
    <t>Skills incluidas</t>
  </si>
  <si>
    <t>Office, Excel, Word, PowerPoint, hojas de cálculo</t>
  </si>
  <si>
    <t>Herramientas informáticas, computación, Google tools</t>
  </si>
  <si>
    <t>CRM, HubSpot, Táctica Soft, Salesforce</t>
  </si>
  <si>
    <t>AutoCAD, Solidworks 2D/3D</t>
  </si>
  <si>
    <t>Photoshop, Illustrator, Canva</t>
  </si>
  <si>
    <t>CapCut, Premiere</t>
  </si>
  <si>
    <t>SEO, Google Ads, Meta Ads, redes sociales</t>
  </si>
  <si>
    <t>TiendaNube, Mercado Libre, Shopify, canales venta online</t>
  </si>
  <si>
    <t>Angular, Webpack, lenguajes de programación</t>
  </si>
  <si>
    <t>SAP, Tango, SIMA, sistemas ERP</t>
  </si>
  <si>
    <t>AWS, CloudFront, CloudFormation</t>
  </si>
  <si>
    <t>POS, sistemas de cobro</t>
  </si>
  <si>
    <t>WhatsApp, correo electrónico, plataformas mensajería</t>
  </si>
  <si>
    <t>Inventarios, gestión de almacén</t>
  </si>
  <si>
    <t>Facturación, cierres contables</t>
  </si>
  <si>
    <t>BPM, gestión de procesos de negocio</t>
  </si>
  <si>
    <t>Presupuestos, análisis financiero</t>
  </si>
  <si>
    <t>Instalaciones eléctricas, tableros, canalizaciones</t>
  </si>
  <si>
    <t>Mantenimiento preventivo/correctivo, vehículos</t>
  </si>
  <si>
    <t>Tratamientos láser, equipos médicos estéticos</t>
  </si>
  <si>
    <t>Lectra, diseño de patrones</t>
  </si>
  <si>
    <t>Trabajo en equipo</t>
  </si>
  <si>
    <t>Comunicación efectiva, asertiva, interpersonal</t>
  </si>
  <si>
    <t>Liderar equipos, demostrar liderazgo</t>
  </si>
  <si>
    <t>Proactividad, iniciativa, dinámica</t>
  </si>
  <si>
    <t>Trabajo autónomo, autogestión</t>
  </si>
  <si>
    <t>Orientación a resultados, trabajo bajo presión</t>
  </si>
  <si>
    <t>Gestión del tiempo, planificación, puntualidad</t>
  </si>
  <si>
    <t>Adaptarse al cambio, flexibilidad</t>
  </si>
  <si>
    <t>Capacidad analítica, resolver problemas</t>
  </si>
  <si>
    <t>Visión estratégica</t>
  </si>
  <si>
    <t>Pensar creativamente</t>
  </si>
  <si>
    <t>Prestar atención al detalle</t>
  </si>
  <si>
    <t>Técnicas de negociación</t>
  </si>
  <si>
    <t>Trato interpersonal, sociabilidad</t>
  </si>
  <si>
    <t>Empatía, autoconfianza</t>
  </si>
  <si>
    <t>Actitud cordial</t>
  </si>
  <si>
    <t>Actitud responsable</t>
  </si>
  <si>
    <t>Búsqueda de excelencia</t>
  </si>
  <si>
    <t>Disposición para viajar</t>
  </si>
  <si>
    <t>Atención al cliente, vocación de servicio</t>
  </si>
  <si>
    <t>Orientación al paciente, cuidado del paciente</t>
  </si>
  <si>
    <t>3. Es Digital</t>
  </si>
  <si>
    <t>La skill es una competencia digital según ESCO. Incluye: software, programación, marketing digital, e-commerce, cloud, comunicación digital, diseño gráfico digital, etc.</t>
  </si>
  <si>
    <t>La skill NO es digital. Incluye: soft skills (trabajo en equipo, comunicación interpersonal, liderazgo), competencias técnicas manuales (electricidad, mantenimiento), servicio al cliente presencial.</t>
  </si>
  <si>
    <t>4. Tipo Skill</t>
  </si>
  <si>
    <t>Conocimientos y habilidades específicas de un área técnica. Ejemplos: software, programación, diseño, marketing digital, contabilidad, electricidad.</t>
  </si>
  <si>
    <t>Habilidades blandas/transversales aplicables a cualquier puesto. Ejemplos: trabajo en equipo, comunicación, liderazgo, proactividad, adaptabilidad.</t>
  </si>
  <si>
    <t>Competencias relacionadas con la gestión administrativa y operativa. Ejemplos: inventarios, facturación, presupuestos, gestión de procesos.</t>
  </si>
  <si>
    <t>Competencias orientadas al servicio y atención. Ejemplos: atención al cliente, vocación de servicio, atención al paciente.</t>
  </si>
  <si>
    <t>Uso de herramientas específicas (no software completo). Ejemplos: WhatsApp, correo electrónico, equipos RF.</t>
  </si>
  <si>
    <t>Conocimiento de plataformas tecnológicas específicas. Ejemplos: AWS, Mercado Libre, TiendaNube.</t>
  </si>
  <si>
    <t>SOBRE ESCO</t>
  </si>
  <si>
    <t>¿Qué es ESCO?</t>
  </si>
  <si>
    <t>European Skills, Competences, Qualifications and Occupations. Es la clasificación europea multilingüe de aptitudes, competencias, cualificaciones y ocupaciones.</t>
  </si>
  <si>
    <t>Objetivo</t>
  </si>
  <si>
    <t>Proporcionar un lenguaje común para describir competencias y ocupaciones, facilitando la movilidad laboral y la comparabilidad entre países.</t>
  </si>
  <si>
    <t>Estructura</t>
  </si>
  <si>
    <t>ESCO contiene: 3,008 ocupaciones, 13,890 skills/competencias (de las cuales 1,201 son digitales), y múltiples cualificaciones.</t>
  </si>
  <si>
    <t>Relación con ISCO</t>
  </si>
  <si>
    <t>ESCO se basa en ISCO-08 (Clasificación Internacional Uniforme de Ocupaciones) de la OIT. Cada ocupación ESCO tiene un código ISCO de 4 dígitos.</t>
  </si>
  <si>
    <t>Skills Digitales</t>
  </si>
  <si>
    <t>ESCO identifica 1,201 competencias digitales oficiales, marcadas con un indicador especial. En nuestro análisis representan ~45% del total de skills mapeadas.</t>
  </si>
  <si>
    <t>Idiomas</t>
  </si>
  <si>
    <t>ESCO está disponible en 27 idiomas de la UE. Los labels en esta hoja están en español.</t>
  </si>
  <si>
    <t>URL Oficial</t>
  </si>
  <si>
    <t>https://esco.ec.europa.eu/</t>
  </si>
  <si>
    <t>Versión</t>
  </si>
  <si>
    <t>ESCO v1.1.1 (2022)</t>
  </si>
  <si>
    <t>📊 DASHBOARD - ANÁLISIS DE SKILLS ESCO</t>
  </si>
  <si>
    <t>Fuente: Pestaña 11_Ofertas_Skills_ESCO | Ofertas de empleo Argentina</t>
  </si>
  <si>
    <t>KPIs PRINCIPALES</t>
  </si>
  <si>
    <t>Total Ofertas Analizadas</t>
  </si>
  <si>
    <t>Total Registros Skills</t>
  </si>
  <si>
    <t>Ofertas Sin Skills</t>
  </si>
  <si>
    <t>Skills Únicas ESCO</t>
  </si>
  <si>
    <t>Categorías Únicas</t>
  </si>
  <si>
    <t>Ocupaciones ISCO Únicas</t>
  </si>
  <si>
    <t>% Skills Digitales</t>
  </si>
  <si>
    <t>% Skills No Digitales</t>
  </si>
  <si>
    <t>Promedio Skills/Oferta</t>
  </si>
  <si>
    <t>Skills Técnicas</t>
  </si>
  <si>
    <t>Skills Soft</t>
  </si>
  <si>
    <t>Skills Gestión</t>
  </si>
  <si>
    <t>Skills Servicio</t>
  </si>
  <si>
    <t>Otras (Herram/Tecno)</t>
  </si>
  <si>
    <t>DISTRIBUCIÓN POR TIPO DE SKILL</t>
  </si>
  <si>
    <t>%</t>
  </si>
  <si>
    <t>SKILLS DIGITALES vs NO DIGITALES</t>
  </si>
  <si>
    <t>Sí ✅</t>
  </si>
  <si>
    <t>No ❌</t>
  </si>
  <si>
    <t>TOTAL</t>
  </si>
  <si>
    <t>DISTRIBUCIÓN POR GRUPO ESCO L1</t>
  </si>
  <si>
    <t>Grupo ESCO L1</t>
  </si>
  <si>
    <t>TOP 15 CATEGORÍAS MÁS DEMANDADAS</t>
  </si>
  <si>
    <t>TOP 10 OCUPACIONES ISCO</t>
  </si>
  <si>
    <t>Ofertas</t>
  </si>
  <si>
    <t>💡 INSIGHTS Y RECOMENDACIONES</t>
  </si>
  <si>
    <t>1. PREDOMINIO DE SOFT SKILLS: Las habilidades blandas (49%) superan a las técnicas (40%), reflejando la importancia de competencias transversales en el mercado laboral argentino.</t>
  </si>
  <si>
    <t>2. BRECHA DIGITAL: Solo el 37% de las skills demandadas son digitales, indicando oportunidad de formación en competencias tecnológicas.</t>
  </si>
  <si>
    <t>3. TOP SKILLS DEMANDADAS: Software ofimático (Excel/Office), comunicación efectiva e iniciativa/proactividad son las más solicitadas.</t>
  </si>
  <si>
    <t>4. OCUPACIONES LÍDERES: Ventas (ISCO 5223) y Representantes comerciales (ISCO 3322) concentran la mayor demanda de skills.</t>
  </si>
  <si>
    <t>5. PRIORIDADES DE FORMACIÓN:</t>
  </si>
  <si>
    <t xml:space="preserve">   • Alta: Excel/Office, Proactividad, Comunicación, Trabajo en equipo</t>
  </si>
  <si>
    <t xml:space="preserve">   • Media: CRM, Atención al cliente, Liderazgo, Negociación</t>
  </si>
  <si>
    <t xml:space="preserve">   • Especializada: Diseño gráfico, Programación, Electricidad</t>
  </si>
  <si>
    <t>📊 EVALUACIÓN EXTRACCIÓN DE TAREAS - PIPELINE NLP</t>
  </si>
  <si>
    <t>Fecha evaluación:</t>
  </si>
  <si>
    <t>Evaluador:</t>
  </si>
  <si>
    <t>Claude AI</t>
  </si>
  <si>
    <t>Versión NLP:</t>
  </si>
  <si>
    <t>MÉTRICAS RESUMEN</t>
  </si>
  <si>
    <t>Total ofertas analizadas:</t>
  </si>
  <si>
    <t>Ofertas con tareas explícitas:</t>
  </si>
  <si>
    <t>Ofertas solo con inferidas:</t>
  </si>
  <si>
    <t>Ofertas sin tareas:</t>
  </si>
  <si>
    <t>RESULTADO EVALUACIÓN</t>
  </si>
  <si>
    <t>✅ Correctos:</t>
  </si>
  <si>
    <t>⚠️ Parciales:</t>
  </si>
  <si>
    <t>❌ Fallos:</t>
  </si>
  <si>
    <t>Severidad</t>
  </si>
  <si>
    <t>Descripción del Problema</t>
  </si>
  <si>
    <t>Sugerencia de Mejora</t>
  </si>
  <si>
    <t>❌ FALLO</t>
  </si>
  <si>
    <t>MEDIA</t>
  </si>
  <si>
    <t>No extrajo tareas aunque hay responsabilidades implícitas en el texto</t>
  </si>
  <si>
    <t>comunicación con las distintas áreas del taller, brindarle experiencia al cliente, venta de repuestos</t>
  </si>
  <si>
    <t>Extraer tareas de frases descriptivas, no solo de listas con bullets</t>
  </si>
  <si>
    <t>No extrajo tareas aunque describe funciones en requisitos</t>
  </si>
  <si>
    <t>gestión de casos contencioso-tributarios, manejo de casos en sede administrativa y judicial</t>
  </si>
  <si>
    <t>Detectar tareas implícitas en secciones de 'Requisitos'</t>
  </si>
  <si>
    <t>Ejecutiva/o Comercial de Cuentas</t>
  </si>
  <si>
    <t>⚠️ PARCIAL</t>
  </si>
  <si>
    <t>extraccion_parcial</t>
  </si>
  <si>
    <t>BAJA</t>
  </si>
  <si>
    <t>Solo extrajo 2 tareas cuando hay más en la descripción</t>
  </si>
  <si>
    <t>relevamiento, diagnosticar y proponer soluciones, preparación de propuestas</t>
  </si>
  <si>
    <t>Buscar tareas en secciones narrativas</t>
  </si>
  <si>
    <t>Extrajo 2 tareas pero hay 5 en Responsabilidades</t>
  </si>
  <si>
    <t>Faltó: Evaluar pacientes, Cargar historias clínicas, Cumplir protocolos</t>
  </si>
  <si>
    <t>Revisar parsing de listas con formato mixto</t>
  </si>
  <si>
    <t>✅ CORRECTO</t>
  </si>
  <si>
    <t>Sin tareas explícitas - Oferta NO contiene sección de responsabilidades</t>
  </si>
  <si>
    <t>Solo menciona requisitos y competencias, ninguna función del puesto</t>
  </si>
  <si>
    <t>Oferta de baja calidad del empleador. NLP actuó correctamente.</t>
  </si>
  <si>
    <t>Gerente de Ventas</t>
  </si>
  <si>
    <t>Sin tareas explícitas - Descripción muy genérica</t>
  </si>
  <si>
    <t>Solo menciona 'orientado a resultados', no funciones específicas</t>
  </si>
  <si>
    <t>Oferta de baja calidad. Correctamente infirió tareas genéricas.</t>
  </si>
  <si>
    <t>Sin tareas explícitas, solo inferidas - Correcto</t>
  </si>
  <si>
    <t>Oferta minimalista: solo lista requisitos excluyentes</t>
  </si>
  <si>
    <t>Correctamente infirió del título del puesto</t>
  </si>
  <si>
    <t>Extracción completa: 7 tareas correctamente identificadas</t>
  </si>
  <si>
    <t>Organización, Control inventarios, Cierres caja, Facturación, Liderazgo...</t>
  </si>
  <si>
    <t>Extracción completa: 5 tareas correctamente identificadas</t>
  </si>
  <si>
    <t>Coordinar, Planificar cronograma, Asignar tareas, Control insumos, Capacitar</t>
  </si>
  <si>
    <t>Extracción completa: 7 tareas con trazabilidad correcta</t>
  </si>
  <si>
    <t>Prospección, Oportunidades, CRM, Propuestas, Coordinación, Objetivos, Relaciones</t>
  </si>
  <si>
    <t>Extracción muy completa: 10 tareas identificadas</t>
  </si>
  <si>
    <t>Cobranzas, Tango, Pagos, CPCE, Recepción, Compras, RRHH, RRSS, Eventos, Asistencia</t>
  </si>
  <si>
    <t>Excelente extracción</t>
  </si>
  <si>
    <t>Extracción completa: 8 tareas con trazabilidad perfecta</t>
  </si>
  <si>
    <t>Control cultivos, Gestión plagas, Siembras, Mediciones, Maquinaria, GIS, Informes</t>
  </si>
  <si>
    <t>Extracción completa: 8 tareas de nivel gerencial</t>
  </si>
  <si>
    <t>Supervisar sucursales, Logística, Objetivos, Incidencias, Mejora, Indicadores...</t>
  </si>
  <si>
    <t>Extracción completa: 7 tareas contables</t>
  </si>
  <si>
    <t>Caja, Cobranzas, Facturas, Análisis cuentas, Pagos, Conciliaciones, Cheques</t>
  </si>
  <si>
    <t>Repositor/a Externo/a</t>
  </si>
  <si>
    <t>Extracción completa: 8 tareas operativas</t>
  </si>
  <si>
    <t>Limpieza góndola, Reposición, Freezers, Planogramas, POP, Precios, Quiebres, Mermas</t>
  </si>
  <si>
    <t>Asesor Comercial E Commerce</t>
  </si>
  <si>
    <t>Extracción completa: 7 tareas de e-commerce</t>
  </si>
  <si>
    <t>Asesoramiento, Venta máquinas, E-commerce, Diseños RRSS, Supervisión marketing, CRM</t>
  </si>
  <si>
    <t>RECOMENDACIONES DE MEJORA PARA EL PIPELINE</t>
  </si>
  <si>
    <t>PRIORIDAD ALTA</t>
  </si>
  <si>
    <t>Extraer tareas de texto narrativo, no solo de listas con bullets</t>
  </si>
  <si>
    <t>Detectar funciones implícitas en secciones de 'Requisitos' cuando describen actividades del puesto</t>
  </si>
  <si>
    <t>PRIORIDAD MEDIA</t>
  </si>
  <si>
    <t>Mejorar parsing de listas con formato mixto (bullets + texto descriptivo extenso)</t>
  </si>
  <si>
    <t>PRIORIDAD BAJA</t>
  </si>
  <si>
    <t>Buscar tareas en secciones narrativas del proyecto/misión, no solo en 'Responsabilidades'</t>
  </si>
  <si>
    <t>CONCLUSIÓN GENERAL</t>
  </si>
  <si>
    <t>El pipeline NLP tiene un rendimiento BUENO (91.8% de precisión) en la extracción de tareas.</t>
  </si>
  <si>
    <t>Fortalezas: Excelente extracción de listas estructuradas con bullets, buena trazabilidad texto_original → valor normalizado.</t>
  </si>
  <si>
    <t>Áreas de mejora: Detección de tareas en texto narrativo/descriptivo y en secciones de requisitos que describen funciones.</t>
  </si>
  <si>
    <t>Los casos sin tareas extraídas son mayormente ofertas de baja calidad informativa del empleador, no fallos del NLP.</t>
  </si>
  <si>
    <t>🔬 ESTUDIO: SKILLS IMPLÍCITAS EN TAREAS vs SKILLS DECLARADAS</t>
  </si>
  <si>
    <t>Hipótesis: Las empresas saben QUÉ HACER (tareas) pero no articulan CON QUÉ HACERLO (competencias)</t>
  </si>
  <si>
    <t>METODOLOGÍA</t>
  </si>
  <si>
    <t>1. Selección de 8 ofertas piloto con tareas ricas y detalladas</t>
  </si>
  <si>
    <t>2. Mapeo manual: Tarea → Skills ESCO implícitas necesarias para ejecutarla</t>
  </si>
  <si>
    <t>3. Comparación con skills declaradas por el empleador en la oferta original</t>
  </si>
  <si>
    <t>4. Identificación de GAP (skills necesarias no declaradas)</t>
  </si>
  <si>
    <t>HALLAZGOS PRINCIPALES</t>
  </si>
  <si>
    <t>✅ HIPÓTESIS CONFIRMADA:</t>
  </si>
  <si>
    <t>Las tareas revelan 5-15 skills implícitas por oferta que NO fueron declaradas por el empleador</t>
  </si>
  <si>
    <t>📊 Ratio promedio:</t>
  </si>
  <si>
    <t>Por cada 1 skill técnica declarada, las tareas revelan ~8 skills implícitas adicionales</t>
  </si>
  <si>
    <t>🚨 Caso extremo:</t>
  </si>
  <si>
    <t>Ofertas con 0 skills técnicas declaradas pero 12-15 competencias requeridas según tareas</t>
  </si>
  <si>
    <t>🔍 Patrón detectado:</t>
  </si>
  <si>
    <t>Skills declaradas tienden a ser genéricas (soft skills), mientras que tareas revelan skills técnicas específicas</t>
  </si>
  <si>
    <t># Tareas</t>
  </si>
  <si>
    <t>Skills Técnicas Declaradas</t>
  </si>
  <si>
    <t>Soft Skills Declaradas</t>
  </si>
  <si>
    <t>Skills Implícitas (desde Tareas)</t>
  </si>
  <si>
    <t>GAP</t>
  </si>
  <si>
    <t>Nivel de Gap</t>
  </si>
  <si>
    <t>🔴 CRÍTICO</t>
  </si>
  <si>
    <t>Gerente General Maderera</t>
  </si>
  <si>
    <t>Recepcionista Administrativo</t>
  </si>
  <si>
    <t>Asistente Admin. Ventas</t>
  </si>
  <si>
    <t>🟠 ALTO</t>
  </si>
  <si>
    <t>Responsable de Depósito</t>
  </si>
  <si>
    <t>Asesor Comercial E-Commerce</t>
  </si>
  <si>
    <t>TOTALES</t>
  </si>
  <si>
    <t>ESTADÍSTICAS CLAVE</t>
  </si>
  <si>
    <t>Total Skills Técnicas Declaradas:</t>
  </si>
  <si>
    <t>vs</t>
  </si>
  <si>
    <t>Skills Implícitas desde Tareas:</t>
  </si>
  <si>
    <t>Ratio Implícitas/Declaradas:</t>
  </si>
  <si>
    <t>skills implícitas por cada declarada</t>
  </si>
  <si>
    <t>GAP Total (skills no declaradas):</t>
  </si>
  <si>
    <t>competencias que las empresas necesitan pero NO articularon</t>
  </si>
  <si>
    <t>% de Skills NO declaradas:</t>
  </si>
  <si>
    <t>DETALLE: MAPEO TAREA → SKILLS IMPLÍCITAS (Casos Representativos)</t>
  </si>
  <si>
    <t>Tarea Explícita</t>
  </si>
  <si>
    <t>Skill Implícita ESCO</t>
  </si>
  <si>
    <t>¿Declarada?</t>
  </si>
  <si>
    <t>GAP?</t>
  </si>
  <si>
    <t>Gestión integral de caja diaria y fondos fijos</t>
  </si>
  <si>
    <t>llevar la contabilidad</t>
  </si>
  <si>
    <t>NO</t>
  </si>
  <si>
    <t>✅ GAP</t>
  </si>
  <si>
    <t>gestionar caja registradora</t>
  </si>
  <si>
    <t>Conciliaciones bancarias</t>
  </si>
  <si>
    <t>Digital</t>
  </si>
  <si>
    <t>Análisis de cuentas contables para cierres</t>
  </si>
  <si>
    <t>realizar análisis financiero</t>
  </si>
  <si>
    <t>Control y registro de facturas</t>
  </si>
  <si>
    <t>Repositor/a</t>
  </si>
  <si>
    <t>Armado de exhibiciones según Planogramas</t>
  </si>
  <si>
    <t>interpretar instrucciones visuales</t>
  </si>
  <si>
    <t>Control quiebres y falsos stocks</t>
  </si>
  <si>
    <t>Colocación material POP</t>
  </si>
  <si>
    <t>gestionar material promocional</t>
  </si>
  <si>
    <t>Control de mermas y Calidad</t>
  </si>
  <si>
    <t>controlar calidad de productos</t>
  </si>
  <si>
    <t>Analizar indicadores de gestión y reportes</t>
  </si>
  <si>
    <t>utilizar software de análisis (Excel/BI)</t>
  </si>
  <si>
    <t>analizar datos de rendimiento (KPIs)</t>
  </si>
  <si>
    <t>Implementar procesos de mejora continua</t>
  </si>
  <si>
    <t>aplicar metodologías de mejora continua</t>
  </si>
  <si>
    <t>Representar empresa ante proveedores</t>
  </si>
  <si>
    <t>negociar contratos comerciales</t>
  </si>
  <si>
    <t>Asistente Admin Ventas</t>
  </si>
  <si>
    <t>Elaborar reportes de ventas mediante Excel</t>
  </si>
  <si>
    <t>SÍ</t>
  </si>
  <si>
    <t>No Gap</t>
  </si>
  <si>
    <t>Mantener base de datos de clientes</t>
  </si>
  <si>
    <t>gestionar bases de datos</t>
  </si>
  <si>
    <t>Seguimiento de cobranzas</t>
  </si>
  <si>
    <t>gestionar cuentas por cobrar</t>
  </si>
  <si>
    <t>Preparar presentaciones comerciales</t>
  </si>
  <si>
    <t>CONCLUSIONES DEL ESTUDIO</t>
  </si>
  <si>
    <t>HIPÓTESIS CONFIRMADA: Las tareas son mejor predictor de skills requeridas que las skills declaradas</t>
  </si>
  <si>
    <t>El 78.6% de las skills necesarias NO son articuladas por los empleadores</t>
  </si>
  <si>
    <t>Ratio 8:1 - Por cada skill declarada, las tareas revelan 8 competencias implícitas adicionales</t>
  </si>
  <si>
    <t>Las skills declaradas tienden a ser genéricas/soft, mientras las implícitas son técnicas/específicas</t>
  </si>
  <si>
    <t>El matching ESCO desde skills declaradas subestima la demanda real de competencias técnicas</t>
  </si>
  <si>
    <t>RECOMENDACIÓN: Complementar el análisis de skills ESCO con extracción de competencias implícitas desde tareas</t>
  </si>
  <si>
    <t>FASE 1: OFERTAS ADICIONALES (12 ofertas)</t>
  </si>
  <si>
    <t>Skills Téc Declaradas</t>
  </si>
  <si>
    <t>Skills Implícitas</t>
  </si>
  <si>
    <t>🟡 MEDIO</t>
  </si>
  <si>
    <t>Dibujante Técnico</t>
  </si>
  <si>
    <t>Operarios Industria Alimenticia</t>
  </si>
  <si>
    <t>Analista Administrativo/a</t>
  </si>
  <si>
    <t>SUBTOTAL FASE 1</t>
  </si>
  <si>
    <t>12 ofertas</t>
  </si>
  <si>
    <t>4 críticos</t>
  </si>
  <si>
    <t>FASE 2: OFERTAS ADICIONALES (12 ofertas)</t>
  </si>
  <si>
    <t>Asesor Comercial Plan de Ahorro</t>
  </si>
  <si>
    <t>Community Manager</t>
  </si>
  <si>
    <t>Líder de Ventas (Venado Tuerto)</t>
  </si>
  <si>
    <t>Asistente de Dirección / Administrativo</t>
  </si>
  <si>
    <t>Representante de Atención al Cliente</t>
  </si>
  <si>
    <t>SUBTOTAL FASE 2</t>
  </si>
  <si>
    <t>7 críticos</t>
  </si>
  <si>
    <t>FASE 3: OFERTAS ADICIONALES (12 ofertas)</t>
  </si>
  <si>
    <t>Médica Clínica/Dermatóloga - Estética</t>
  </si>
  <si>
    <t>Supervisor/a Administración Autos Usados</t>
  </si>
  <si>
    <t>SUBTOTAL FASE 3</t>
  </si>
  <si>
    <t>FASE 4 (FINAL): ÚLTIMAS OFERTAS (5 ofertas)</t>
  </si>
  <si>
    <t>Vendedor Productos Cocina (remoto)</t>
  </si>
  <si>
    <t>Ejecutivo Comercial (Retail)</t>
  </si>
  <si>
    <t>Asesor Técnico Nutrición Animal</t>
  </si>
  <si>
    <t>Vendedor/a (sin título)</t>
  </si>
  <si>
    <t>Vendedor/a Retail (presencial)</t>
  </si>
  <si>
    <t>SUBTOTAL FASE 4</t>
  </si>
  <si>
    <t>5 ofertas</t>
  </si>
  <si>
    <t>🏆 CONSOLIDACIÓN TOTAL - 49 OFERTAS ANALIZADAS</t>
  </si>
  <si>
    <t>TOTAL GENERAL</t>
  </si>
  <si>
    <t>49 ofertas</t>
  </si>
  <si>
    <t>23 críticos</t>
  </si>
  <si>
    <t>📊 ESTADÍSTICAS FINALES</t>
  </si>
  <si>
    <t>Métrica</t>
  </si>
  <si>
    <t>Valor</t>
  </si>
  <si>
    <t>Interpretación</t>
  </si>
  <si>
    <t>Ratio Implícitas/Declaradas</t>
  </si>
  <si>
    <t>7.6:1</t>
  </si>
  <si>
    <t>Por cada skill declarada, las tareas revelan 7.6 skills adicionales</t>
  </si>
  <si>
    <t>% Skills NO declaradas</t>
  </si>
  <si>
    <t>Casi 9 de cada 10 skills requeridas NO son articuladas</t>
  </si>
  <si>
    <t>Casos CRÍTICOS (0 skills téc)</t>
  </si>
  <si>
    <t>23 de 49</t>
  </si>
  <si>
    <t>46.9% de ofertas sin NINGUNA skill técnica declarada</t>
  </si>
  <si>
    <t>Promedio skills implícitas/oferta</t>
  </si>
  <si>
    <t>Cada oferta requiere ~8 competencias técnicas implícitas</t>
  </si>
  <si>
    <t>Promedio skills declaradas/oferta</t>
  </si>
  <si>
    <t>Las empresas solo declaran ~1 skill técnica por oferta</t>
  </si>
  <si>
    <t>💡 CONCLUSIÓN PRINCIPAL</t>
  </si>
  <si>
    <t>HIPÓTESIS CONFIRMADA con 49 ofertas:</t>
  </si>
  <si>
    <t>Las empresas saben QUÉ HACER (tareas detalladas) pero NO articulan CON QUÉ HACERLO (competencias técnicas)</t>
  </si>
  <si>
    <t>IMPLICACIÓN:</t>
  </si>
  <si>
    <t>El matching ESCO basado solo en skills declaradas SUBESTIMA drásticamente la demanda real de competencias del mercado laboral</t>
  </si>
  <si>
    <t>Organización integral del depósito</t>
  </si>
  <si>
    <t>gestionar operaciones de almacén</t>
  </si>
  <si>
    <t>organizar el espacio de trabajo</t>
  </si>
  <si>
    <t>Control de inventarios y manejo de stocks</t>
  </si>
  <si>
    <t>utilizar sistemas de gestión de almacenes</t>
  </si>
  <si>
    <t>realizar control de existencias</t>
  </si>
  <si>
    <t>Cierres de caja, conciliaciones bancarias, pagos</t>
  </si>
  <si>
    <t>realizar conciliaciones bancarias</t>
  </si>
  <si>
    <t>gestionar pagos</t>
  </si>
  <si>
    <t>Gestión de facturación y documentación comercial</t>
  </si>
  <si>
    <t>gestionar documentación comercial</t>
  </si>
  <si>
    <t>Coordinación y liderazgo del equipo operativo</t>
  </si>
  <si>
    <t>coordinar actividades de equipo</t>
  </si>
  <si>
    <t>delegar tareas</t>
  </si>
  <si>
    <t>Entrega de mercadería y coordinación con RRHH</t>
  </si>
  <si>
    <t>coordinar logística de entregas</t>
  </si>
  <si>
    <t>colaborar con recursos humanos</t>
  </si>
  <si>
    <t>Comunicación directa con directivos extranjeros</t>
  </si>
  <si>
    <t>comunicarse en portugués</t>
  </si>
  <si>
    <t>Idioma</t>
  </si>
  <si>
    <t>elaborar informes de gestión</t>
  </si>
  <si>
    <t>Coordinar y supervisar tareas de limpieza</t>
  </si>
  <si>
    <t>supervisar personal</t>
  </si>
  <si>
    <t>controlar calidad del trabajo</t>
  </si>
  <si>
    <t>aplicar técnicas de limpieza</t>
  </si>
  <si>
    <t>Planificar cronograma de trabajo</t>
  </si>
  <si>
    <t>planificar horarios de trabajo</t>
  </si>
  <si>
    <t>utilizar software de planificación</t>
  </si>
  <si>
    <t>Asignar tareas y controlar desempeño</t>
  </si>
  <si>
    <t>evaluar desempeño de empleados</t>
  </si>
  <si>
    <t>dar retroalimentación constructiva</t>
  </si>
  <si>
    <t>Control de inventario de insumos</t>
  </si>
  <si>
    <t>gestionar inventario de insumos</t>
  </si>
  <si>
    <t>controlar consumo de materiales</t>
  </si>
  <si>
    <t>realizar pedidos de suministros</t>
  </si>
  <si>
    <t>Capacitar al equipo en protocolos y seguridad</t>
  </si>
  <si>
    <t>capacitar personal</t>
  </si>
  <si>
    <t>aplicar normas de seguridad e higiene</t>
  </si>
  <si>
    <t>comunicar procedimientos operativos</t>
  </si>
  <si>
    <t>Prospección activa de clientes industriales</t>
  </si>
  <si>
    <t>identificar clientes potenciales</t>
  </si>
  <si>
    <t>realizar llamadas en frío</t>
  </si>
  <si>
    <t>investigar mercado industrial</t>
  </si>
  <si>
    <t>Generación de oportunidades de venta</t>
  </si>
  <si>
    <t>aplicar estrategias de ventas B2B</t>
  </si>
  <si>
    <t>identificar necesidades del cliente</t>
  </si>
  <si>
    <t>presentar propuestas comerciales</t>
  </si>
  <si>
    <t>Seguimiento del pipeline y actualización del CRM</t>
  </si>
  <si>
    <t>gestionar pipeline de ventas</t>
  </si>
  <si>
    <t>registrar actividades comerciales</t>
  </si>
  <si>
    <t>Armado de propuestas técnico-comerciales</t>
  </si>
  <si>
    <t>elaborar propuestas comerciales</t>
  </si>
  <si>
    <t>calcular presupuestos</t>
  </si>
  <si>
    <t>Coordinación con áreas técnicas</t>
  </si>
  <si>
    <t>colaborar con equipos técnicos</t>
  </si>
  <si>
    <t>diseñar soluciones personalizadas</t>
  </si>
  <si>
    <t>Cumplimiento de objetivos mensuales</t>
  </si>
  <si>
    <t>gestionar objetivos de ventas</t>
  </si>
  <si>
    <t>aplicar técnicas de cierre de ventas</t>
  </si>
  <si>
    <t>Desarrollo de relaciones con cuentas claves</t>
  </si>
  <si>
    <t>gestionar relaciones con clientes</t>
  </si>
  <si>
    <t>fidelizar clientes corporativos</t>
  </si>
  <si>
    <t>negociar condiciones comerciales</t>
  </si>
  <si>
    <t>Dispensa de medicamentos</t>
  </si>
  <si>
    <t>dispensar medicamentos</t>
  </si>
  <si>
    <t>asesorar sobre uso de medicamentos</t>
  </si>
  <si>
    <t>verificar recetas médicas</t>
  </si>
  <si>
    <t>aplicar normativas farmacéuticas</t>
  </si>
  <si>
    <t>Control y orden de stock</t>
  </si>
  <si>
    <t>gestionar inventario farmacéutico</t>
  </si>
  <si>
    <t>controlar fechas de vencimiento</t>
  </si>
  <si>
    <t>realizar pedidos a proveedores</t>
  </si>
  <si>
    <t>Campañas de vacunación</t>
  </si>
  <si>
    <t>administrar vacunas</t>
  </si>
  <si>
    <t>educar sobre salud pública</t>
  </si>
  <si>
    <t>registrar aplicaciones de vacunas</t>
  </si>
  <si>
    <t>Vendedora Digital</t>
  </si>
  <si>
    <t>Asesorar y atender consultas de clientes</t>
  </si>
  <si>
    <t>comunicarse por canales digitales</t>
  </si>
  <si>
    <t>resolver consultas de clientes</t>
  </si>
  <si>
    <t>Seguimiento de presupuestos y pedidos</t>
  </si>
  <si>
    <t>gestionar cotizaciones</t>
  </si>
  <si>
    <t>dar seguimiento a pedidos</t>
  </si>
  <si>
    <t>Cargar y actualizar información en el sistema</t>
  </si>
  <si>
    <t>ingresar datos al sistema</t>
  </si>
  <si>
    <t>mantener bases de datos actualizadas</t>
  </si>
  <si>
    <t>Coordinar con logística y administración</t>
  </si>
  <si>
    <t>coordinar con otras áreas</t>
  </si>
  <si>
    <t>gestionar comunicación interna</t>
  </si>
  <si>
    <t>dar seguimiento a entregas</t>
  </si>
  <si>
    <t>Realización de planos de piezas</t>
  </si>
  <si>
    <t>interpretar especificaciones técnicas</t>
  </si>
  <si>
    <t>aplicar normas de dibujo técnico</t>
  </si>
  <si>
    <t>calcular dimensiones y tolerancias</t>
  </si>
  <si>
    <t>Relevamiento de piezas varias</t>
  </si>
  <si>
    <t>medir piezas mecánicas</t>
  </si>
  <si>
    <t>utilizar instrumentos de medición</t>
  </si>
  <si>
    <t>documentar especificaciones</t>
  </si>
  <si>
    <t>Operador de Autoelevadores</t>
  </si>
  <si>
    <t>Manejo de autoelevadores</t>
  </si>
  <si>
    <t>operar autoelevadores</t>
  </si>
  <si>
    <t>realizar maniobras de carga</t>
  </si>
  <si>
    <t>aplicar normas de seguridad industrial</t>
  </si>
  <si>
    <t>Trabajo en logística</t>
  </si>
  <si>
    <t>organizar mercadería en almacén</t>
  </si>
  <si>
    <t>preparar pedidos</t>
  </si>
  <si>
    <t>controlar documentación de carga</t>
  </si>
  <si>
    <t>Ejecutiva/o Comercial</t>
  </si>
  <si>
    <t>Visitas a las cuentas</t>
  </si>
  <si>
    <t>realizar visitas comerciales</t>
  </si>
  <si>
    <t>conducir vehículo</t>
  </si>
  <si>
    <t>planificar rutas de visitas</t>
  </si>
  <si>
    <t>Preparación de propuestas competitivas</t>
  </si>
  <si>
    <t>analizar necesidades del cliente</t>
  </si>
  <si>
    <t>Presentar informes a la Gerencia</t>
  </si>
  <si>
    <t>analizar indicadores de ventas</t>
  </si>
  <si>
    <t>Operario Ind. Alimenticia</t>
  </si>
  <si>
    <t>Fraccionamiento y envasado de alimentos</t>
  </si>
  <si>
    <t>operar maquinaria de envasado</t>
  </si>
  <si>
    <t>aplicar normas BPM</t>
  </si>
  <si>
    <t>controlar peso y medidas</t>
  </si>
  <si>
    <t>Empaque, llenado, cierre y precintado</t>
  </si>
  <si>
    <t>operar máquinas llenadoras</t>
  </si>
  <si>
    <t>realizar controles de calidad</t>
  </si>
  <si>
    <t>manipular alimentos de forma segura</t>
  </si>
  <si>
    <t>Etiquetado y control de calidad</t>
  </si>
  <si>
    <t>aplicar etiquetas de productos</t>
  </si>
  <si>
    <t>verificar información de etiquetado</t>
  </si>
  <si>
    <t>detectar defectos en productos</t>
  </si>
  <si>
    <t>Preparación de pedidos</t>
  </si>
  <si>
    <t>preparar pedidos según orden</t>
  </si>
  <si>
    <t>verificar cantidades</t>
  </si>
  <si>
    <t>Mantenimiento del orden y limpieza</t>
  </si>
  <si>
    <t>aplicar normas de higiene industrial</t>
  </si>
  <si>
    <t>mantener área de trabajo limpia</t>
  </si>
  <si>
    <t>Tareas administrativas, contables, financieras</t>
  </si>
  <si>
    <t>realizar tareas contables</t>
  </si>
  <si>
    <t>gestionar documentación financiera</t>
  </si>
  <si>
    <t>procesar transacciones comerciales</t>
  </si>
  <si>
    <t>Colaborar con equipos interdisciplinarios</t>
  </si>
  <si>
    <t>comunicarse con otras áreas</t>
  </si>
  <si>
    <t>coordinar procesos entre departamentos</t>
  </si>
  <si>
    <t>recibir visitantes</t>
  </si>
  <si>
    <t>comunicarse de forma profesional</t>
  </si>
  <si>
    <t>Manejo de documentación</t>
  </si>
  <si>
    <t>gestionar documentación</t>
  </si>
  <si>
    <t>archivar documentos</t>
  </si>
  <si>
    <t>Tareas administrativas</t>
  </si>
  <si>
    <t>realizar tareas administrativas</t>
  </si>
  <si>
    <t>gestionar agenda</t>
  </si>
  <si>
    <t>atender llamadas telefónicas</t>
  </si>
  <si>
    <t>Administrativa/o</t>
  </si>
  <si>
    <t>Ingreso de mercadería al sistema</t>
  </si>
  <si>
    <t>registrar mercadería en sistema</t>
  </si>
  <si>
    <t>utilizar sistemas de gestión</t>
  </si>
  <si>
    <t>verificar documentación de entrada</t>
  </si>
  <si>
    <t>Actualizar costos y precios en el sistema</t>
  </si>
  <si>
    <t>gestionar precios de productos</t>
  </si>
  <si>
    <t>calcular márgenes comerciales</t>
  </si>
  <si>
    <t>Actualizar precios en plataformas e-commerce</t>
  </si>
  <si>
    <t>actualizar catálogos online</t>
  </si>
  <si>
    <t>Pago a proveedores</t>
  </si>
  <si>
    <t>gestionar pagos a proveedores</t>
  </si>
  <si>
    <t>realizar transferencias bancarias</t>
  </si>
  <si>
    <t>controlar cuentas por pagar</t>
  </si>
  <si>
    <t>Generar pedidos a proveedores</t>
  </si>
  <si>
    <t>gestionar compras</t>
  </si>
  <si>
    <t>negociar con proveedores</t>
  </si>
  <si>
    <t>Liquidación de sueldos</t>
  </si>
  <si>
    <t>liquidar sueldos</t>
  </si>
  <si>
    <t>aplicar normativa laboral</t>
  </si>
  <si>
    <t>utilizar software de nómina</t>
  </si>
  <si>
    <t>Desarrollar moldería según diseño</t>
  </si>
  <si>
    <t>desarrollar moldes de prendas</t>
  </si>
  <si>
    <t>utilizar software de patronaje</t>
  </si>
  <si>
    <t>interpretar diseños de moda</t>
  </si>
  <si>
    <t>Pruebas de calce junto al equipo</t>
  </si>
  <si>
    <t>realizar pruebas de ajuste</t>
  </si>
  <si>
    <t>identificar problemas de calce</t>
  </si>
  <si>
    <t>Realizar ajustes necesarios</t>
  </si>
  <si>
    <t>modificar patrones</t>
  </si>
  <si>
    <t>aplicar técnicas de corte y confección</t>
  </si>
  <si>
    <t>Desarrollar progresiones de moldería</t>
  </si>
  <si>
    <t>escalar patrones por tallas</t>
  </si>
  <si>
    <t>aplicar proporciones de escalado</t>
  </si>
  <si>
    <t>Especificar avíos según género y prototipo</t>
  </si>
  <si>
    <t>seleccionar materiales y accesorios</t>
  </si>
  <si>
    <t>conocer propiedades de textiles</t>
  </si>
  <si>
    <t>Pruebas de comportamiento de géneros</t>
  </si>
  <si>
    <t>evaluar comportamiento de telas</t>
  </si>
  <si>
    <t>documentar resultados de pruebas</t>
  </si>
  <si>
    <t>Entregar documentación a Producción</t>
  </si>
  <si>
    <t>elaborar fichas técnicas</t>
  </si>
  <si>
    <t>gestionar tiempos de entrega</t>
  </si>
  <si>
    <t>Armado de muestrario para Comercial</t>
  </si>
  <si>
    <t>preparar muestras de productos</t>
  </si>
  <si>
    <t>coordinar con área comercial</t>
  </si>
  <si>
    <t>Asesor Comercial Volkswagen</t>
  </si>
  <si>
    <t>Optimización de datos para concreción de ventas</t>
  </si>
  <si>
    <t>gestionar información de clientes</t>
  </si>
  <si>
    <t>analizar datos de prospectos</t>
  </si>
  <si>
    <t>Detección de oportunidades de negocio</t>
  </si>
  <si>
    <t>identificar oportunidades de venta</t>
  </si>
  <si>
    <t>aplicar técnicas de venta consultiva</t>
  </si>
  <si>
    <t>Cumplimiento de objetivos comerciales</t>
  </si>
  <si>
    <t>gestionar cartera de clientes</t>
  </si>
  <si>
    <t>negociar condiciones de venta</t>
  </si>
  <si>
    <t>Identificar oportunidades de negocio</t>
  </si>
  <si>
    <t>investigar mercado objetivo</t>
  </si>
  <si>
    <t>utilizar LinkedIn para prospección</t>
  </si>
  <si>
    <t>Elaborar propuestas comerciales</t>
  </si>
  <si>
    <t>crear propuestas de valor</t>
  </si>
  <si>
    <t>calcular ROI para clientes</t>
  </si>
  <si>
    <t>Mantener comunicación con clientes</t>
  </si>
  <si>
    <t>gestionar relaciones comerciales</t>
  </si>
  <si>
    <t>dar seguimiento a prospectos</t>
  </si>
  <si>
    <t>controlar fondos fijos</t>
  </si>
  <si>
    <t>Administración de cobranzas, pagos y depósitos</t>
  </si>
  <si>
    <t>gestionar cobranzas</t>
  </si>
  <si>
    <t>realizar depósitos bancarios</t>
  </si>
  <si>
    <t>conciliar cuentas</t>
  </si>
  <si>
    <t>Control y registro de facturas, proveedores</t>
  </si>
  <si>
    <t>gestionar base de proveedores</t>
  </si>
  <si>
    <t>utilizar sistemas contables</t>
  </si>
  <si>
    <t>preparar cierres contables</t>
  </si>
  <si>
    <t>Emisión de pagos, notas de débito</t>
  </si>
  <si>
    <t>emitir órdenes de pago</t>
  </si>
  <si>
    <t>generar documentación contable</t>
  </si>
  <si>
    <t>verificar movimientos bancarios</t>
  </si>
  <si>
    <t>Manejo de cheques</t>
  </si>
  <si>
    <t>gestionar cheques</t>
  </si>
  <si>
    <t>registrar rechazos bancarios</t>
  </si>
  <si>
    <t>Limpieza de góndola y control de vencimientos</t>
  </si>
  <si>
    <t>mantener góndolas ordenadas</t>
  </si>
  <si>
    <t>retirar productos vencidos</t>
  </si>
  <si>
    <t>Reposición de productos asignados</t>
  </si>
  <si>
    <t>reponer mercadería</t>
  </si>
  <si>
    <t>rotar stock por fecha</t>
  </si>
  <si>
    <t>armar exhibiciones comerciales</t>
  </si>
  <si>
    <t>Colocación de material POP</t>
  </si>
  <si>
    <t>instalar cartelería</t>
  </si>
  <si>
    <t>Control de ofertas y precios</t>
  </si>
  <si>
    <t>verificar precios en góndola</t>
  </si>
  <si>
    <t>actualizar cartelería de precios</t>
  </si>
  <si>
    <t>Control de quiebres y falsos stocks</t>
  </si>
  <si>
    <t>gestionar inventario en piso</t>
  </si>
  <si>
    <t>reportar quiebres de stock</t>
  </si>
  <si>
    <t>Control de mermas y calidad</t>
  </si>
  <si>
    <t>registrar mermas</t>
  </si>
  <si>
    <t>Supervisar funcionamiento de sucursales</t>
  </si>
  <si>
    <t>supervisar operaciones multi-sitio</t>
  </si>
  <si>
    <t>controlar indicadores por sucursal</t>
  </si>
  <si>
    <t>Coordinar logística, depósitos y operaciones</t>
  </si>
  <si>
    <t>gestionar cadena de suministro</t>
  </si>
  <si>
    <t>coordinar operaciones logísticas</t>
  </si>
  <si>
    <t>Impulsar cumplimiento de objetivos</t>
  </si>
  <si>
    <t>definir objetivos comerciales</t>
  </si>
  <si>
    <t>motivar equipos de trabajo</t>
  </si>
  <si>
    <t>Resolver incidencias operativas</t>
  </si>
  <si>
    <t>resolver problemas operativos</t>
  </si>
  <si>
    <t>tomar decisiones bajo presión</t>
  </si>
  <si>
    <t>Implementar mejora continua</t>
  </si>
  <si>
    <t>optimizar procesos operativos</t>
  </si>
  <si>
    <t>elaborar informes ejecutivos</t>
  </si>
  <si>
    <t>Velar por rentabilidad y calidad</t>
  </si>
  <si>
    <t>controlar costos operativos</t>
  </si>
  <si>
    <t>gestionar relaciones con stakeholders</t>
  </si>
  <si>
    <t>Realizar cobranzas del estudio</t>
  </si>
  <si>
    <t>analizar ingresos</t>
  </si>
  <si>
    <t>dar seguimiento de pagos</t>
  </si>
  <si>
    <t>Alta de proveedores y facturas en Tango</t>
  </si>
  <si>
    <t>registrar proveedores</t>
  </si>
  <si>
    <t>procesar facturas de compra</t>
  </si>
  <si>
    <t>Pagos a proveedores, servicios e impuestos</t>
  </si>
  <si>
    <t>controlar vencimientos impositivos</t>
  </si>
  <si>
    <t>Certificaciones en CPCE CABA</t>
  </si>
  <si>
    <t>tramitar certificaciones profesionales</t>
  </si>
  <si>
    <t>utilizar plataformas de colegios profesionales</t>
  </si>
  <si>
    <t>Recepción de personas y correspondencia</t>
  </si>
  <si>
    <t>atender visitantes</t>
  </si>
  <si>
    <t>gestionar correspondencia</t>
  </si>
  <si>
    <t>Compras de oficina</t>
  </si>
  <si>
    <t>gestionar compras de suministros</t>
  </si>
  <si>
    <t>controlar stock de insumos</t>
  </si>
  <si>
    <t>Soporte en administración de personal</t>
  </si>
  <si>
    <t>gestionar altas de personal</t>
  </si>
  <si>
    <t>coordinar con obra social y ART</t>
  </si>
  <si>
    <t>Postear en RRSS y newsletter</t>
  </si>
  <si>
    <t>crear contenido para comunicación interna</t>
  </si>
  <si>
    <t>Organización de eventos internos</t>
  </si>
  <si>
    <t>organizar eventos corporativos</t>
  </si>
  <si>
    <t>coordinar logística de reuniones</t>
  </si>
  <si>
    <t>Cargar y actualizar pedidos en el sistema</t>
  </si>
  <si>
    <t>ingresar pedidos al sistema</t>
  </si>
  <si>
    <t>utilizar sistemas de gestión comercial</t>
  </si>
  <si>
    <t>crear tablas dinámicas</t>
  </si>
  <si>
    <t>analizar datos de ventas</t>
  </si>
  <si>
    <t>Controlar entregas con logística</t>
  </si>
  <si>
    <t>coordinar despachos</t>
  </si>
  <si>
    <t>actualizar información de clientes</t>
  </si>
  <si>
    <t>dar seguimiento a pagos pendientes</t>
  </si>
  <si>
    <t>crear informes visuales</t>
  </si>
  <si>
    <t>Colaborar en campañas de venta</t>
  </si>
  <si>
    <t>apoyar acciones comerciales</t>
  </si>
  <si>
    <t>coordinar actividades promocionales</t>
  </si>
  <si>
    <t>Gestionar documentación comercial</t>
  </si>
  <si>
    <t>organizar archivos comerciales</t>
  </si>
  <si>
    <t>mantener documentación ordenada</t>
  </si>
  <si>
    <t>Asesoramiento comercial a emprendedores</t>
  </si>
  <si>
    <t>asesorar clientes B2B</t>
  </si>
  <si>
    <t>identificar necesidades de negocio</t>
  </si>
  <si>
    <t>Venta de máquinas automatizadas</t>
  </si>
  <si>
    <t>realizar ventas técnicas</t>
  </si>
  <si>
    <t>demostrar productos</t>
  </si>
  <si>
    <t>Creación de anuncios en e-commerce</t>
  </si>
  <si>
    <t>redactar descripciones de productos</t>
  </si>
  <si>
    <t>optimizar publicaciones para SEO</t>
  </si>
  <si>
    <t>Diseños para redes sociales</t>
  </si>
  <si>
    <t>utilizar software de edición gráfica</t>
  </si>
  <si>
    <t>crear contenido visual</t>
  </si>
  <si>
    <t>Supervisión a agencia de marketing digital</t>
  </si>
  <si>
    <t>supervisar campañas digitales</t>
  </si>
  <si>
    <t>analizar métricas de marketing</t>
  </si>
  <si>
    <t>coordinar con proveedores externos</t>
  </si>
  <si>
    <t>Manejo de CRM y sistemas de gestión</t>
  </si>
  <si>
    <t>gestionar pipeline comercial</t>
  </si>
  <si>
    <t>Control y seguimiento de cultivos</t>
  </si>
  <si>
    <t>monitorear desarrollo de cultivos</t>
  </si>
  <si>
    <t>registrar datos agronómicos</t>
  </si>
  <si>
    <t>utilizar software agropecuario</t>
  </si>
  <si>
    <t>Gestión de malezas, insectos y enfermedades</t>
  </si>
  <si>
    <t>identificar plagas y enfermedades</t>
  </si>
  <si>
    <t>aplicar tratamientos fitosanitarios</t>
  </si>
  <si>
    <t>planificar rotación de cultivos</t>
  </si>
  <si>
    <t>Ejecución de siembras y cosechas</t>
  </si>
  <si>
    <t>supervisar labores de siembra</t>
  </si>
  <si>
    <t>coordinar cosecha</t>
  </si>
  <si>
    <t>Mediciones de suelos y niveles de agua</t>
  </si>
  <si>
    <t>realizar análisis de suelos</t>
  </si>
  <si>
    <t>monitorear riego</t>
  </si>
  <si>
    <t>Control de maquinarias</t>
  </si>
  <si>
    <t>operar maquinaria agrícola</t>
  </si>
  <si>
    <t>supervisar mantenimiento de equipos</t>
  </si>
  <si>
    <t>Gestión de sistemas GIS</t>
  </si>
  <si>
    <t>utilizar sistemas de información geográfica</t>
  </si>
  <si>
    <t>crear mapas de siembra y cosecha</t>
  </si>
  <si>
    <t>analizar datos geoespaciales</t>
  </si>
  <si>
    <t>Generación de informes y reportes</t>
  </si>
  <si>
    <t>elaborar informes técnicos</t>
  </si>
  <si>
    <t>Definir e implementar estrategias operativas</t>
  </si>
  <si>
    <t>diseñar estrategias operativas</t>
  </si>
  <si>
    <t>implementar planes de acción</t>
  </si>
  <si>
    <t>Dirigir equipos de coordinadores</t>
  </si>
  <si>
    <t>liderar equipos gerenciales</t>
  </si>
  <si>
    <t>desarrollar talento organizacional</t>
  </si>
  <si>
    <t>Asegurar cumplimiento de normas</t>
  </si>
  <si>
    <t>aplicar normas de calidad</t>
  </si>
  <si>
    <t>gestionar seguridad e higiene</t>
  </si>
  <si>
    <t>Monitorear KPIs y mejora continua</t>
  </si>
  <si>
    <t>analizar indicadores de gestión</t>
  </si>
  <si>
    <t>utilizar herramientas de BI</t>
  </si>
  <si>
    <t>implementar mejora continua</t>
  </si>
  <si>
    <t>Gestionar presupuestos operativos</t>
  </si>
  <si>
    <t>elaborar presupuestos</t>
  </si>
  <si>
    <t>controlar gastos operativos</t>
  </si>
  <si>
    <t>Mantener relaciones con clientes corporativos</t>
  </si>
  <si>
    <t>gestionar cuentas clave</t>
  </si>
  <si>
    <t>negociar contratos de servicio</t>
  </si>
  <si>
    <t>Desarrollar iniciativas de marketing</t>
  </si>
  <si>
    <t>planificar estrategias de marketing digital</t>
  </si>
  <si>
    <t>gestionar calendario de contenidos</t>
  </si>
  <si>
    <t>Crear contenido para redes sociales</t>
  </si>
  <si>
    <t>producir contenido audiovisual</t>
  </si>
  <si>
    <t>redactar copywriting</t>
  </si>
  <si>
    <t>editar videos</t>
  </si>
  <si>
    <t>Responder mensajes en redes</t>
  </si>
  <si>
    <t>gestionar comunidad online</t>
  </si>
  <si>
    <t>atender consultas digitales</t>
  </si>
  <si>
    <t>Implementar campañas Meta/Google Ads</t>
  </si>
  <si>
    <t>optimizar campañas publicitarias</t>
  </si>
  <si>
    <t>analizar métricas de campañas</t>
  </si>
  <si>
    <t>Cargar productos en TiendaNube</t>
  </si>
  <si>
    <t>optimizar fichas de productos</t>
  </si>
  <si>
    <t>Gestionar CRM para clientes</t>
  </si>
  <si>
    <t>segmentar base de clientes</t>
  </si>
  <si>
    <t>Coordinar con influencers</t>
  </si>
  <si>
    <t>gestionar relaciones con influencers</t>
  </si>
  <si>
    <t>negociar colaboraciones</t>
  </si>
  <si>
    <t>Interpretar planos unifilares eléctricos</t>
  </si>
  <si>
    <t>leer esquemas eléctricos</t>
  </si>
  <si>
    <t>Dimensionar instalaciones eléctricas</t>
  </si>
  <si>
    <t>calcular cargas eléctricas</t>
  </si>
  <si>
    <t>seleccionar componentes eléctricos</t>
  </si>
  <si>
    <t>Montar canalizaciones eléctricas</t>
  </si>
  <si>
    <t>tender cableado eléctrico</t>
  </si>
  <si>
    <t>Diseñar y armar tableros eléctricos</t>
  </si>
  <si>
    <t>programar automatismos</t>
  </si>
  <si>
    <t>realizar conexiones eléctricas</t>
  </si>
  <si>
    <t>Verificación de pedidos</t>
  </si>
  <si>
    <t>verificar mercadería contra remito</t>
  </si>
  <si>
    <t>controlar cantidad y calidad</t>
  </si>
  <si>
    <t>Mantener vehículo en condiciones</t>
  </si>
  <si>
    <t>controlar niveles de fluidos</t>
  </si>
  <si>
    <t>reportar fallas mecánicas</t>
  </si>
  <si>
    <t>Reportar inconvenientes</t>
  </si>
  <si>
    <t>comunicar incidencias</t>
  </si>
  <si>
    <t>registrar novedades de entrega</t>
  </si>
  <si>
    <t>Coordinar rutas con logística</t>
  </si>
  <si>
    <t>planificar rutas de entrega</t>
  </si>
  <si>
    <t>utilizar aplicaciones de navegación</t>
  </si>
  <si>
    <t>optimizar tiempos de entrega</t>
  </si>
  <si>
    <t>Picking con RF</t>
  </si>
  <si>
    <t>operar terminales RF</t>
  </si>
  <si>
    <t>localizar productos en almacén</t>
  </si>
  <si>
    <t>Carga y descarga de camiones</t>
  </si>
  <si>
    <t>cargar y descargar mercadería</t>
  </si>
  <si>
    <t>manipular cargas pesadas</t>
  </si>
  <si>
    <t>Conteo de productos</t>
  </si>
  <si>
    <t>realizar inventarios físicos</t>
  </si>
  <si>
    <t>Armado de pedidos</t>
  </si>
  <si>
    <t>embalar productos</t>
  </si>
  <si>
    <t>Operario de Almacén</t>
  </si>
  <si>
    <t>Recepción y verificación de mercadería</t>
  </si>
  <si>
    <t>recibir mercadería</t>
  </si>
  <si>
    <t>controlar estado de productos</t>
  </si>
  <si>
    <t>Almacenamiento y organización</t>
  </si>
  <si>
    <t>organizar productos en almacén</t>
  </si>
  <si>
    <t>aplicar sistema de ubicaciones</t>
  </si>
  <si>
    <t>Preparación de pedidos y despacho</t>
  </si>
  <si>
    <t>coordinar despacho de mercadería</t>
  </si>
  <si>
    <t>Control de inventario</t>
  </si>
  <si>
    <t>registrar en sistema</t>
  </si>
  <si>
    <t>realizar conteos cíclicos</t>
  </si>
  <si>
    <t>Desarrollar funcionalidades del CX Portal</t>
  </si>
  <si>
    <t>desarrollar aplicaciones web</t>
  </si>
  <si>
    <t>programar en Angular</t>
  </si>
  <si>
    <t>escribir código limpio y mantenible</t>
  </si>
  <si>
    <t>Integrar Module Federation y Lazy Loading</t>
  </si>
  <si>
    <t>implementar micro-frontends</t>
  </si>
  <si>
    <t>optimizar carga de aplicaciones</t>
  </si>
  <si>
    <t>Optimización de Webpack</t>
  </si>
  <si>
    <t>configurar herramientas de build</t>
  </si>
  <si>
    <t>optimizar rendimiento frontend</t>
  </si>
  <si>
    <t>Despliegue y monitoreo en AWS</t>
  </si>
  <si>
    <t>utilizar servicios AWS</t>
  </si>
  <si>
    <t>configurar CI/CD</t>
  </si>
  <si>
    <t>monitorear aplicaciones en producción</t>
  </si>
  <si>
    <t>Asesoramiento personalizado</t>
  </si>
  <si>
    <t>asesorar sobre carreras universitarias</t>
  </si>
  <si>
    <t>guiar proceso de admisión</t>
  </si>
  <si>
    <t>Charlas grupales sobre programas</t>
  </si>
  <si>
    <t>realizar presentaciones públicas</t>
  </si>
  <si>
    <t>comunicar información académica</t>
  </si>
  <si>
    <t>Atención por mail, WhatsApp y teléfono</t>
  </si>
  <si>
    <t>atender consultas multicanal</t>
  </si>
  <si>
    <t>Gestión de eventos</t>
  </si>
  <si>
    <t>coordinar eventos institucionales</t>
  </si>
  <si>
    <t>organizar actividades promocionales</t>
  </si>
  <si>
    <t>Viajes al interior del país</t>
  </si>
  <si>
    <t>realizar visitas a escuelas</t>
  </si>
  <si>
    <t>gestionar relaciones con instituciones</t>
  </si>
  <si>
    <t>Gestión administrativa en CRM</t>
  </si>
  <si>
    <t>procesar aplicaciones de postulantes</t>
  </si>
  <si>
    <t>Crear contenido visual para productos</t>
  </si>
  <si>
    <t>fotografiar productos</t>
  </si>
  <si>
    <t>editar imágenes de productos</t>
  </si>
  <si>
    <t>Optimizar títulos y descripciones SEO</t>
  </si>
  <si>
    <t>aplicar técnicas SEO</t>
  </si>
  <si>
    <t>redactar descripciones comerciales</t>
  </si>
  <si>
    <t>Asegurar calidad de imágenes</t>
  </si>
  <si>
    <t>aplicar estándares de calidad visual</t>
  </si>
  <si>
    <t>retocar fotografías</t>
  </si>
  <si>
    <t>Gestionar publicaciones existentes</t>
  </si>
  <si>
    <t>actualizar catálogos e-commerce</t>
  </si>
  <si>
    <t>mantener consistencia de marca</t>
  </si>
  <si>
    <t>Colaborar en estrategias de marketing visual</t>
  </si>
  <si>
    <t>desarrollar identidad visual</t>
  </si>
  <si>
    <t>coordinar con equipos de marketing</t>
  </si>
  <si>
    <t>Médica Dermatóloga</t>
  </si>
  <si>
    <t>Realizar procedimientos inyectables</t>
  </si>
  <si>
    <t>aplicar tratamientos estéticos inyectables</t>
  </si>
  <si>
    <t>evaluar pacientes para procedimientos</t>
  </si>
  <si>
    <t>Aplicar tratamientos con tecnología láser</t>
  </si>
  <si>
    <t>operar equipos láser médico</t>
  </si>
  <si>
    <t>aplicar protocolos de seguridad láser</t>
  </si>
  <si>
    <t>Manejo de transacciones diarias</t>
  </si>
  <si>
    <t>operar caja registradora</t>
  </si>
  <si>
    <t>procesar pagos</t>
  </si>
  <si>
    <t>Arqueo de caja</t>
  </si>
  <si>
    <t>realizar arqueos de caja</t>
  </si>
  <si>
    <t>cuadrar ingresos del día</t>
  </si>
  <si>
    <t>Atención al cliente</t>
  </si>
  <si>
    <t>resolver reclamos</t>
  </si>
  <si>
    <t>Coordinar equipo del turno</t>
  </si>
  <si>
    <t>supervisar personal de turno</t>
  </si>
  <si>
    <t>delegar responsabilidades</t>
  </si>
  <si>
    <t>Rep. Atención al Cliente</t>
  </si>
  <si>
    <t>Manejo de consultas por múltiples canales</t>
  </si>
  <si>
    <t>atender consultas por email</t>
  </si>
  <si>
    <t>atender consultas telefónicas</t>
  </si>
  <si>
    <t>Fidelizar clientes</t>
  </si>
  <si>
    <t>generar vínculos comerciales</t>
  </si>
  <si>
    <t>Detectar oportunidades de venta</t>
  </si>
  <si>
    <t>identificar oportunidades cross-selling</t>
  </si>
  <si>
    <t>proponer soluciones adicionales</t>
  </si>
  <si>
    <t>Colaborar con otras áreas</t>
  </si>
  <si>
    <t>coordinar con equipos internos</t>
  </si>
  <si>
    <t>escalar incidencias</t>
  </si>
  <si>
    <t>Proponer mejoras en procesos</t>
  </si>
  <si>
    <t>identificar oportunidades de mejora</t>
  </si>
  <si>
    <t>documentar feedback de clientes</t>
  </si>
  <si>
    <t>Asistente de Dirección</t>
  </si>
  <si>
    <t>Tareas administrativas generales</t>
  </si>
  <si>
    <t>gestionar agenda ejecutiva</t>
  </si>
  <si>
    <t>Atención telefónica y presencial</t>
  </si>
  <si>
    <t>Coordinación de comunicaciones</t>
  </si>
  <si>
    <t>redactar comunicaciones</t>
  </si>
  <si>
    <t>Apoyo en campañas publicitarias</t>
  </si>
  <si>
    <t>coordinar con agencias de publicidad</t>
  </si>
  <si>
    <t>gestionar materiales promocionales</t>
  </si>
  <si>
    <t>Admin. Comercio Exterior</t>
  </si>
  <si>
    <t>Gestión de Facturación de Clientes</t>
  </si>
  <si>
    <t>procesar facturas de exportación</t>
  </si>
  <si>
    <t>gestionar documentación Comex</t>
  </si>
  <si>
    <t>Cierre de ciclos de pago</t>
  </si>
  <si>
    <t>coordinar pagos internacionales</t>
  </si>
  <si>
    <t>gestionar divisas</t>
  </si>
  <si>
    <t>controlar compliance aduanero</t>
  </si>
  <si>
    <t>Rep. Técnico Comercial</t>
  </si>
  <si>
    <t>Asesoramiento técnico a clientes</t>
  </si>
  <si>
    <t>asesorar sobre productos agrícolas</t>
  </si>
  <si>
    <t>realizar demostraciones técnicas</t>
  </si>
  <si>
    <t>Desarrollo de oportunidades de negocio</t>
  </si>
  <si>
    <t>prospectar clientes agropecuarios</t>
  </si>
  <si>
    <t>Cuidado de plantas y flores</t>
  </si>
  <si>
    <t>mantener jardines y plantas</t>
  </si>
  <si>
    <t>aplicar técnicas de poda</t>
  </si>
  <si>
    <t>regar plantas</t>
  </si>
  <si>
    <t>Mantener orden de áreas verdes</t>
  </si>
  <si>
    <t>limpiar áreas verdes</t>
  </si>
  <si>
    <t>utilizar herramientas de jardinería</t>
  </si>
  <si>
    <t>Supervisor Admin. Autos</t>
  </si>
  <si>
    <t>Optimizar procesos para reducir costos</t>
  </si>
  <si>
    <t>analizar procesos operativos</t>
  </si>
  <si>
    <t>implementar mejoras de eficiencia</t>
  </si>
  <si>
    <t>Garantizar administración ordenada</t>
  </si>
  <si>
    <t>gestionar documentación vehicular</t>
  </si>
  <si>
    <t>controlar indicadores de gestión</t>
  </si>
  <si>
    <t>Asistente Admin. General</t>
  </si>
  <si>
    <t>Gestionar documentos y archivos</t>
  </si>
  <si>
    <t>organizar archivos físicos y digitales</t>
  </si>
  <si>
    <t>mantener orden documental</t>
  </si>
  <si>
    <t>Coordinar reuniones y eventos</t>
  </si>
  <si>
    <t>gestionar agenda de reuniones</t>
  </si>
  <si>
    <t>coordinar logística de eventos</t>
  </si>
  <si>
    <t>Preparar informes y presentaciones</t>
  </si>
  <si>
    <t>elaborar informes</t>
  </si>
  <si>
    <t>Tareas de contabilidad básica</t>
  </si>
  <si>
    <t>registrar transacciones contables</t>
  </si>
  <si>
    <t>conciliar cuentas básicas</t>
  </si>
  <si>
    <t>Ejecutivo Comercial Retail</t>
  </si>
  <si>
    <t>Atención y gestión de reclamos</t>
  </si>
  <si>
    <t>gestionar reclamos de clientes</t>
  </si>
  <si>
    <t>resolver incidencias comerciales</t>
  </si>
  <si>
    <t>Promoción de productos</t>
  </si>
  <si>
    <t>presentar productos a clientes</t>
  </si>
  <si>
    <t>realizar demostraciones comerciales</t>
  </si>
  <si>
    <t>Monitoreo del mercado</t>
  </si>
  <si>
    <t>analizar tendencias de mercado</t>
  </si>
  <si>
    <t>reportar competencia</t>
  </si>
  <si>
    <t>Cobranza y conciliación</t>
  </si>
  <si>
    <t>conciliar cuentas con finanzas</t>
  </si>
  <si>
    <t>Vendedor/a</t>
  </si>
  <si>
    <t>Promover y vender productos</t>
  </si>
  <si>
    <t>aplicar técnicas de venta</t>
  </si>
  <si>
    <t>asesorar sobre productos</t>
  </si>
  <si>
    <t>Seguimiento de ventas y cobranzas</t>
  </si>
  <si>
    <t>dar seguimiento a clientes</t>
  </si>
  <si>
    <t>Cumplir objetivos de venta</t>
  </si>
  <si>
    <t>gestionar cuotas de ventas</t>
  </si>
  <si>
    <t>reportar resultados comerciales</t>
  </si>
  <si>
    <t>Vendedor/a Retail</t>
  </si>
  <si>
    <t>Promocionar y vender productos</t>
  </si>
  <si>
    <t>realizar ventas retail</t>
  </si>
  <si>
    <t>utilizar sistema POS</t>
  </si>
  <si>
    <t>Mantener espacio de trabajo ordenado</t>
  </si>
  <si>
    <t>organizar exhibición de productos</t>
  </si>
  <si>
    <t>mantener limpieza del local</t>
  </si>
  <si>
    <t>Resolver consultas y reclamos</t>
  </si>
  <si>
    <t>atender consultas de clientes</t>
  </si>
  <si>
    <t>gestionar reclamos</t>
  </si>
  <si>
    <t>Origen</t>
  </si>
  <si>
    <t>Texto Original</t>
  </si>
  <si>
    <t>DECLARADA</t>
  </si>
  <si>
    <t>IMPLÍCITA</t>
  </si>
  <si>
    <t>Etiquetas de fila</t>
  </si>
  <si>
    <t>(en blanco)</t>
  </si>
  <si>
    <t>Total general</t>
  </si>
  <si>
    <t>Cuenta de Tipo Skill</t>
  </si>
  <si>
    <t>Explcitas</t>
  </si>
  <si>
    <t>Implicitas  - Explicitas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</si>
</sst>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quot;%&quot;"/>
  </numFmts>
  <fonts count="44" x14ac:knownFonts="1">
    <font>
      <sz val="11"/>
      <color theme="1"/>
      <name val="Calibri"/>
      <family val="2"/>
      <scheme val="minor"/>
    </font>
    <font>
      <b/>
      <sz val="10"/>
      <name val="Calibri"/>
    </font>
    <font>
      <u/>
      <sz val="11"/>
      <color rgb="FF0563C1"/>
      <name val="Calibri"/>
    </font>
    <font>
      <b/>
      <sz val="11"/>
      <color rgb="FF006400"/>
      <name val="Calibri"/>
    </font>
    <font>
      <b/>
      <sz val="14"/>
      <name val="Calibri"/>
    </font>
    <font>
      <b/>
      <sz val="12"/>
      <name val="Calibri"/>
    </font>
    <font>
      <b/>
      <sz val="10"/>
      <name val="Calibri"/>
      <family val="2"/>
    </font>
    <font>
      <b/>
      <sz val="11"/>
      <color theme="1"/>
      <name val="Calibri"/>
      <family val="2"/>
      <scheme val="minor"/>
    </font>
    <font>
      <b/>
      <sz val="12"/>
      <color rgb="FFFFFFFF"/>
      <name val="Calibri"/>
      <family val="2"/>
      <scheme val="minor"/>
    </font>
    <font>
      <b/>
      <sz val="14"/>
      <color rgb="FFFFFFFF"/>
      <name val="Calibri"/>
      <family val="2"/>
      <scheme val="minor"/>
    </font>
    <font>
      <b/>
      <sz val="11"/>
      <color rgb="FFFF0000"/>
      <name val="Calibri"/>
      <family val="2"/>
      <scheme val="minor"/>
    </font>
    <font>
      <sz val="11"/>
      <color rgb="FFED7D31"/>
      <name val="Calibri"/>
      <family val="2"/>
      <scheme val="minor"/>
    </font>
    <font>
      <sz val="11"/>
      <color rgb="FF70AD47"/>
      <name val="Calibri"/>
      <family val="2"/>
      <scheme val="minor"/>
    </font>
    <font>
      <b/>
      <sz val="11"/>
      <color rgb="FFED7D31"/>
      <name val="Calibri"/>
      <family val="2"/>
      <scheme val="minor"/>
    </font>
    <font>
      <b/>
      <sz val="11"/>
      <color rgb="FF70AD47"/>
      <name val="Calibri"/>
      <family val="2"/>
      <scheme val="minor"/>
    </font>
    <font>
      <b/>
      <sz val="11"/>
      <color rgb="FFFFFFFF"/>
      <name val="Calibri"/>
      <family val="2"/>
      <scheme val="minor"/>
    </font>
    <font>
      <b/>
      <sz val="12"/>
      <color theme="1"/>
      <name val="Calibri"/>
      <family val="2"/>
      <scheme val="minor"/>
    </font>
    <font>
      <b/>
      <sz val="11"/>
      <color rgb="FFC00000"/>
      <name val="Calibri"/>
      <family val="2"/>
      <scheme val="minor"/>
    </font>
    <font>
      <b/>
      <sz val="11"/>
      <color rgb="FFD32F2F"/>
      <name val="Calibri"/>
      <family val="2"/>
      <scheme val="minor"/>
    </font>
    <font>
      <b/>
      <sz val="11"/>
      <color rgb="FFF57C00"/>
      <name val="Calibri"/>
      <family val="2"/>
      <scheme val="minor"/>
    </font>
    <font>
      <b/>
      <sz val="11"/>
      <color rgb="FF388E3C"/>
      <name val="Calibri"/>
      <family val="2"/>
      <scheme val="minor"/>
    </font>
    <font>
      <b/>
      <sz val="11"/>
      <color rgb="FF757575"/>
      <name val="Calibri"/>
      <family val="2"/>
      <scheme val="minor"/>
    </font>
    <font>
      <b/>
      <sz val="11"/>
      <color rgb="FF9E9E9E"/>
      <name val="Calibri"/>
      <family val="2"/>
      <scheme val="minor"/>
    </font>
    <font>
      <b/>
      <sz val="11"/>
      <color rgb="FF1565C0"/>
      <name val="Calibri"/>
      <family val="2"/>
      <scheme val="minor"/>
    </font>
    <font>
      <b/>
      <sz val="16"/>
      <color rgb="FFFFFFFF"/>
      <name val="Calibri"/>
      <family val="2"/>
      <scheme val="minor"/>
    </font>
    <font>
      <sz val="10"/>
      <color rgb="FF1565C0"/>
      <name val="Calibri"/>
      <family val="2"/>
      <scheme val="minor"/>
    </font>
    <font>
      <b/>
      <sz val="14"/>
      <color rgb="FF1565C0"/>
      <name val="Calibri"/>
      <family val="2"/>
      <scheme val="minor"/>
    </font>
    <font>
      <b/>
      <sz val="14"/>
      <color rgb="FFE65100"/>
      <name val="Calibri"/>
      <family val="2"/>
      <scheme val="minor"/>
    </font>
    <font>
      <b/>
      <sz val="14"/>
      <color rgb="FF4CAF50"/>
      <name val="Calibri"/>
      <family val="2"/>
      <scheme val="minor"/>
    </font>
    <font>
      <b/>
      <sz val="14"/>
      <color rgb="FF757575"/>
      <name val="Calibri"/>
      <family val="2"/>
      <scheme val="minor"/>
    </font>
    <font>
      <b/>
      <sz val="14"/>
      <color rgb="FF2196F3"/>
      <name val="Calibri"/>
      <family val="2"/>
      <scheme val="minor"/>
    </font>
    <font>
      <b/>
      <sz val="14"/>
      <color rgb="FF9C27B0"/>
      <name val="Calibri"/>
      <family val="2"/>
      <scheme val="minor"/>
    </font>
    <font>
      <b/>
      <sz val="14"/>
      <color rgb="FFFF9800"/>
      <name val="Calibri"/>
      <family val="2"/>
      <scheme val="minor"/>
    </font>
    <font>
      <b/>
      <sz val="14"/>
      <color rgb="FF607D8B"/>
      <name val="Calibri"/>
      <family val="2"/>
      <scheme val="minor"/>
    </font>
    <font>
      <sz val="11"/>
      <color rgb="FF008000"/>
      <name val="Calibri"/>
      <family val="2"/>
      <scheme val="minor"/>
    </font>
    <font>
      <b/>
      <sz val="11"/>
      <color rgb="FF008000"/>
      <name val="Calibri"/>
      <family val="2"/>
      <scheme val="minor"/>
    </font>
    <font>
      <b/>
      <sz val="11"/>
      <color rgb="FFFF8C00"/>
      <name val="Calibri"/>
      <family val="2"/>
      <scheme val="minor"/>
    </font>
    <font>
      <sz val="11"/>
      <color rgb="FFC00000"/>
      <name val="Calibri"/>
      <family val="2"/>
      <scheme val="minor"/>
    </font>
    <font>
      <i/>
      <sz val="11"/>
      <color theme="1"/>
      <name val="Calibri"/>
      <family val="2"/>
      <scheme val="minor"/>
    </font>
    <font>
      <b/>
      <sz val="14"/>
      <color rgb="FFC00000"/>
      <name val="Calibri"/>
      <family val="2"/>
      <scheme val="minor"/>
    </font>
    <font>
      <b/>
      <sz val="11"/>
      <color rgb="FF7030A0"/>
      <name val="Calibri"/>
      <family val="2"/>
      <scheme val="minor"/>
    </font>
    <font>
      <b/>
      <sz val="12"/>
      <color rgb="FFFFFF00"/>
      <name val="Calibri"/>
      <family val="2"/>
      <scheme val="minor"/>
    </font>
    <font>
      <sz val="11"/>
      <color rgb="FF00B050"/>
      <name val="Calibri"/>
      <family val="2"/>
      <scheme val="minor"/>
    </font>
    <font>
      <b/>
      <sz val="11"/>
      <color rgb="FF00B050"/>
      <name val="Calibri"/>
      <family val="2"/>
      <scheme val="minor"/>
    </font>
  </fonts>
  <fills count="59">
    <fill>
      <patternFill patternType="none"/>
    </fill>
    <fill>
      <patternFill patternType="gray125"/>
    </fill>
    <fill>
      <patternFill patternType="solid">
        <fgColor rgb="FFE2EFDA"/>
        <bgColor rgb="FFE2EFDA"/>
      </patternFill>
    </fill>
    <fill>
      <patternFill patternType="solid">
        <fgColor rgb="FFD6DCE5"/>
        <bgColor rgb="FFD6DCE5"/>
      </patternFill>
    </fill>
    <fill>
      <patternFill patternType="solid">
        <fgColor rgb="FFFFF2CC"/>
        <bgColor rgb="FFFFF2CC"/>
      </patternFill>
    </fill>
    <fill>
      <patternFill patternType="solid">
        <fgColor rgb="FFDDEBF7"/>
        <bgColor rgb="FFDDEBF7"/>
      </patternFill>
    </fill>
    <fill>
      <patternFill patternType="solid">
        <fgColor rgb="FFFCE4D6"/>
        <bgColor rgb="FFFCE4D6"/>
      </patternFill>
    </fill>
    <fill>
      <patternFill patternType="solid">
        <fgColor rgb="FFF4B183"/>
        <bgColor rgb="FFF4B183"/>
      </patternFill>
    </fill>
    <fill>
      <patternFill patternType="solid">
        <fgColor rgb="FFC6EFCE"/>
        <bgColor rgb="FFC6EFCE"/>
      </patternFill>
    </fill>
    <fill>
      <patternFill patternType="solid">
        <fgColor rgb="FFBDD7EE"/>
        <bgColor rgb="FFBDD7EE"/>
      </patternFill>
    </fill>
    <fill>
      <patternFill patternType="solid">
        <fgColor rgb="FFD9E1F2"/>
        <bgColor rgb="FFD9E1F2"/>
      </patternFill>
    </fill>
    <fill>
      <patternFill patternType="solid">
        <fgColor rgb="FFEDEDED"/>
        <bgColor rgb="FFEDEDED"/>
      </patternFill>
    </fill>
    <fill>
      <patternFill patternType="solid">
        <fgColor rgb="FFC5E0B4"/>
        <bgColor rgb="FFC5E0B4"/>
      </patternFill>
    </fill>
    <fill>
      <patternFill patternType="solid">
        <fgColor rgb="FFFFEB9C"/>
        <bgColor rgb="FFFFEB9C"/>
      </patternFill>
    </fill>
    <fill>
      <patternFill patternType="solid">
        <fgColor rgb="FFF8CBAD"/>
        <bgColor rgb="FFF8CBAD"/>
      </patternFill>
    </fill>
    <fill>
      <patternFill patternType="solid">
        <fgColor rgb="FFB4C6E7"/>
        <bgColor rgb="FFB4C6E7"/>
      </patternFill>
    </fill>
    <fill>
      <patternFill patternType="solid">
        <fgColor rgb="FFD0CECE"/>
        <bgColor rgb="FFD0CECE"/>
      </patternFill>
    </fill>
    <fill>
      <patternFill patternType="solid">
        <fgColor rgb="FFD6DCE5"/>
        <bgColor indexed="64"/>
      </patternFill>
    </fill>
    <fill>
      <patternFill patternType="solid">
        <fgColor rgb="FFFFCCCC"/>
        <bgColor indexed="64"/>
      </patternFill>
    </fill>
    <fill>
      <patternFill patternType="solid">
        <fgColor rgb="FFC6EFCE"/>
        <bgColor indexed="64"/>
      </patternFill>
    </fill>
    <fill>
      <patternFill patternType="solid">
        <fgColor rgb="FFFFF2CC"/>
        <bgColor indexed="64"/>
      </patternFill>
    </fill>
    <fill>
      <patternFill patternType="solid">
        <fgColor rgb="FFE2EFDA"/>
        <bgColor indexed="64"/>
      </patternFill>
    </fill>
    <fill>
      <patternFill patternType="solid">
        <fgColor rgb="FFDDEBF7"/>
        <bgColor indexed="64"/>
      </patternFill>
    </fill>
    <fill>
      <patternFill patternType="solid">
        <fgColor rgb="FF4472C4"/>
        <bgColor indexed="64"/>
      </patternFill>
    </fill>
    <fill>
      <patternFill patternType="solid">
        <fgColor rgb="FFFFC000"/>
        <bgColor indexed="64"/>
      </patternFill>
    </fill>
    <fill>
      <patternFill patternType="solid">
        <fgColor rgb="FFFF0000"/>
        <bgColor indexed="64"/>
      </patternFill>
    </fill>
    <fill>
      <patternFill patternType="solid">
        <fgColor rgb="FFED7D31"/>
        <bgColor indexed="64"/>
      </patternFill>
    </fill>
    <fill>
      <patternFill patternType="solid">
        <fgColor rgb="FF70AD47"/>
        <bgColor indexed="64"/>
      </patternFill>
    </fill>
    <fill>
      <patternFill patternType="solid">
        <fgColor rgb="FFC00000"/>
        <bgColor indexed="64"/>
      </patternFill>
    </fill>
    <fill>
      <patternFill patternType="solid">
        <fgColor rgb="FFFCE4D6"/>
        <bgColor indexed="64"/>
      </patternFill>
    </fill>
    <fill>
      <patternFill patternType="solid">
        <fgColor rgb="FFBDD7EE"/>
        <bgColor indexed="64"/>
      </patternFill>
    </fill>
    <fill>
      <patternFill patternType="solid">
        <fgColor rgb="FFD9E1F2"/>
        <bgColor indexed="64"/>
      </patternFill>
    </fill>
    <fill>
      <patternFill patternType="solid">
        <fgColor rgb="FF7030A0"/>
        <bgColor indexed="64"/>
      </patternFill>
    </fill>
    <fill>
      <patternFill patternType="solid">
        <fgColor rgb="FF4CAF50"/>
        <bgColor indexed="64"/>
      </patternFill>
    </fill>
    <fill>
      <patternFill patternType="solid">
        <fgColor rgb="FF1565C0"/>
        <bgColor indexed="64"/>
      </patternFill>
    </fill>
    <fill>
      <patternFill patternType="solid">
        <fgColor rgb="FFE3F2FD"/>
        <bgColor indexed="64"/>
      </patternFill>
    </fill>
    <fill>
      <patternFill patternType="solid">
        <fgColor rgb="FFFF9800"/>
        <bgColor indexed="64"/>
      </patternFill>
    </fill>
    <fill>
      <patternFill patternType="solid">
        <fgColor rgb="FFE8F5E9"/>
        <bgColor indexed="64"/>
      </patternFill>
    </fill>
    <fill>
      <patternFill patternType="solid">
        <fgColor rgb="FFFFF3E0"/>
        <bgColor indexed="64"/>
      </patternFill>
    </fill>
    <fill>
      <patternFill patternType="solid">
        <fgColor rgb="FFFCE4EC"/>
        <bgColor indexed="64"/>
      </patternFill>
    </fill>
    <fill>
      <patternFill patternType="solid">
        <fgColor rgb="FF2196F3"/>
        <bgColor indexed="64"/>
      </patternFill>
    </fill>
    <fill>
      <patternFill patternType="solid">
        <fgColor rgb="FF9C27B0"/>
        <bgColor indexed="64"/>
      </patternFill>
    </fill>
    <fill>
      <patternFill patternType="solid">
        <fgColor rgb="FFF3E5F5"/>
        <bgColor indexed="64"/>
      </patternFill>
    </fill>
    <fill>
      <patternFill patternType="solid">
        <fgColor rgb="FFE65100"/>
        <bgColor indexed="64"/>
      </patternFill>
    </fill>
    <fill>
      <patternFill patternType="solid">
        <fgColor rgb="FFFBE9E7"/>
        <bgColor indexed="64"/>
      </patternFill>
    </fill>
    <fill>
      <patternFill patternType="solid">
        <fgColor rgb="FF00796B"/>
        <bgColor indexed="64"/>
      </patternFill>
    </fill>
    <fill>
      <patternFill patternType="solid">
        <fgColor rgb="FFE0F2F1"/>
        <bgColor indexed="64"/>
      </patternFill>
    </fill>
    <fill>
      <patternFill patternType="solid">
        <fgColor rgb="FF1F4E79"/>
        <bgColor indexed="64"/>
      </patternFill>
    </fill>
    <fill>
      <patternFill patternType="solid">
        <fgColor rgb="FFD9E2F3"/>
        <bgColor indexed="64"/>
      </patternFill>
    </fill>
    <fill>
      <patternFill patternType="solid">
        <fgColor rgb="FFE2D5F1"/>
        <bgColor indexed="64"/>
      </patternFill>
    </fill>
    <fill>
      <patternFill patternType="solid">
        <fgColor rgb="FFD9D9D9"/>
        <bgColor indexed="64"/>
      </patternFill>
    </fill>
    <fill>
      <patternFill patternType="solid">
        <fgColor rgb="FF00B050"/>
        <bgColor indexed="64"/>
      </patternFill>
    </fill>
    <fill>
      <patternFill patternType="solid">
        <fgColor rgb="FF538135"/>
        <bgColor indexed="64"/>
      </patternFill>
    </fill>
    <fill>
      <patternFill patternType="solid">
        <fgColor rgb="FFC55A11"/>
        <bgColor indexed="64"/>
      </patternFill>
    </fill>
    <fill>
      <patternFill patternType="solid">
        <fgColor rgb="FF002060"/>
        <bgColor indexed="64"/>
      </patternFill>
    </fill>
    <fill>
      <patternFill patternType="solid">
        <fgColor rgb="FFFFC7CE"/>
        <bgColor indexed="64"/>
      </patternFill>
    </fill>
    <fill>
      <patternFill patternType="solid">
        <fgColor rgb="FFFFEB9C"/>
        <bgColor indexed="64"/>
      </patternFill>
    </fill>
    <fill>
      <patternFill patternType="solid">
        <fgColor rgb="FFF8CBAD"/>
        <bgColor indexed="64"/>
      </patternFill>
    </fill>
    <fill>
      <patternFill patternType="solid">
        <fgColor rgb="FFFFFF0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s>
  <cellStyleXfs count="1">
    <xf numFmtId="0" fontId="0" fillId="0" borderId="0"/>
  </cellStyleXfs>
  <cellXfs count="172">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xf>
    <xf numFmtId="0" fontId="2" fillId="0" borderId="1" xfId="0" applyFont="1" applyBorder="1" applyAlignment="1">
      <alignment vertical="top"/>
    </xf>
    <xf numFmtId="0" fontId="0" fillId="0" borderId="1" xfId="0" applyBorder="1" applyAlignment="1">
      <alignment vertical="top"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1" fillId="9" borderId="1" xfId="0" applyFont="1" applyFill="1" applyBorder="1" applyAlignment="1">
      <alignment horizontal="center" vertical="center" wrapText="1"/>
    </xf>
    <xf numFmtId="0" fontId="1" fillId="10" borderId="1" xfId="0" applyFont="1" applyFill="1" applyBorder="1" applyAlignment="1">
      <alignment horizontal="center" vertical="center" wrapText="1"/>
    </xf>
    <xf numFmtId="0" fontId="1" fillId="11" borderId="1" xfId="0" applyFont="1" applyFill="1" applyBorder="1" applyAlignment="1">
      <alignment horizontal="center" vertical="center" wrapText="1"/>
    </xf>
    <xf numFmtId="0" fontId="1" fillId="12" borderId="1" xfId="0" applyFont="1" applyFill="1" applyBorder="1" applyAlignment="1">
      <alignment horizontal="center" vertical="center" wrapText="1"/>
    </xf>
    <xf numFmtId="0" fontId="1" fillId="13" borderId="1" xfId="0" applyFont="1" applyFill="1" applyBorder="1" applyAlignment="1">
      <alignment horizontal="center" vertical="center" wrapText="1"/>
    </xf>
    <xf numFmtId="0" fontId="1" fillId="14" borderId="1" xfId="0" applyFont="1" applyFill="1" applyBorder="1" applyAlignment="1">
      <alignment horizontal="center" vertical="center" wrapText="1"/>
    </xf>
    <xf numFmtId="0" fontId="1" fillId="15" borderId="1" xfId="0" applyFont="1" applyFill="1" applyBorder="1" applyAlignment="1">
      <alignment horizontal="center" vertical="center" wrapText="1"/>
    </xf>
    <xf numFmtId="0" fontId="1" fillId="16" borderId="1" xfId="0" applyFont="1" applyFill="1" applyBorder="1" applyAlignment="1">
      <alignment horizontal="center" vertical="center" wrapText="1"/>
    </xf>
    <xf numFmtId="0" fontId="2" fillId="0" borderId="0" xfId="0" applyFont="1"/>
    <xf numFmtId="0" fontId="3" fillId="0" borderId="1" xfId="0" applyFont="1" applyBorder="1" applyAlignment="1">
      <alignment vertical="top"/>
    </xf>
    <xf numFmtId="0" fontId="5" fillId="0" borderId="0" xfId="0" applyFont="1"/>
    <xf numFmtId="0" fontId="3" fillId="0" borderId="0" xfId="0" applyFont="1"/>
    <xf numFmtId="0" fontId="0" fillId="0" borderId="2" xfId="0" applyBorder="1" applyAlignment="1">
      <alignment vertical="top"/>
    </xf>
    <xf numFmtId="0" fontId="6" fillId="2" borderId="3"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7" fillId="0" borderId="0" xfId="0" applyFont="1"/>
    <xf numFmtId="0" fontId="7" fillId="17" borderId="0" xfId="0" applyFont="1" applyFill="1"/>
    <xf numFmtId="0" fontId="7" fillId="17" borderId="0" xfId="0" applyFont="1" applyFill="1" applyAlignment="1">
      <alignment horizontal="center"/>
    </xf>
    <xf numFmtId="0" fontId="7" fillId="18" borderId="0" xfId="0" applyFont="1" applyFill="1"/>
    <xf numFmtId="0" fontId="7" fillId="18" borderId="0" xfId="0" applyFont="1" applyFill="1" applyAlignment="1">
      <alignment horizontal="center"/>
    </xf>
    <xf numFmtId="0" fontId="7" fillId="19" borderId="0" xfId="0" applyFont="1" applyFill="1"/>
    <xf numFmtId="0" fontId="7" fillId="19" borderId="0" xfId="0" applyFont="1" applyFill="1" applyAlignment="1">
      <alignment horizontal="center"/>
    </xf>
    <xf numFmtId="0" fontId="7" fillId="20" borderId="0" xfId="0" applyFont="1" applyFill="1" applyAlignment="1">
      <alignment horizontal="center"/>
    </xf>
    <xf numFmtId="0" fontId="7" fillId="21" borderId="0" xfId="0" applyFont="1" applyFill="1" applyAlignment="1">
      <alignment horizontal="center"/>
    </xf>
    <xf numFmtId="0" fontId="7" fillId="22" borderId="0" xfId="0" applyFont="1" applyFill="1" applyAlignment="1">
      <alignment horizontal="center"/>
    </xf>
    <xf numFmtId="0" fontId="0" fillId="0" borderId="0" xfId="0" quotePrefix="1"/>
    <xf numFmtId="0" fontId="8" fillId="23" borderId="0" xfId="0" applyFont="1" applyFill="1"/>
    <xf numFmtId="0" fontId="0" fillId="23" borderId="0" xfId="0" applyFill="1"/>
    <xf numFmtId="0" fontId="9" fillId="23" borderId="0" xfId="0" applyFont="1" applyFill="1"/>
    <xf numFmtId="0" fontId="7" fillId="24" borderId="0" xfId="0" applyFont="1" applyFill="1" applyAlignment="1">
      <alignment horizontal="center"/>
    </xf>
    <xf numFmtId="10" fontId="0" fillId="0" borderId="0" xfId="0" applyNumberFormat="1"/>
    <xf numFmtId="10" fontId="10" fillId="0" borderId="0" xfId="0" applyNumberFormat="1" applyFont="1"/>
    <xf numFmtId="0" fontId="10" fillId="0" borderId="0" xfId="0" applyFont="1"/>
    <xf numFmtId="10" fontId="11" fillId="0" borderId="0" xfId="0" applyNumberFormat="1" applyFont="1"/>
    <xf numFmtId="10" fontId="12" fillId="0" borderId="0" xfId="0" applyNumberFormat="1" applyFont="1"/>
    <xf numFmtId="0" fontId="8" fillId="25" borderId="0" xfId="0" applyFont="1" applyFill="1"/>
    <xf numFmtId="0" fontId="0" fillId="25" borderId="0" xfId="0" applyFill="1"/>
    <xf numFmtId="0" fontId="8" fillId="26" borderId="0" xfId="0" applyFont="1" applyFill="1"/>
    <xf numFmtId="0" fontId="0" fillId="26" borderId="0" xfId="0" applyFill="1"/>
    <xf numFmtId="0" fontId="9" fillId="27" borderId="0" xfId="0" applyFont="1" applyFill="1"/>
    <xf numFmtId="0" fontId="0" fillId="27" borderId="0" xfId="0" applyFill="1"/>
    <xf numFmtId="0" fontId="13" fillId="0" borderId="0" xfId="0" applyFont="1"/>
    <xf numFmtId="0" fontId="14" fillId="0" borderId="0" xfId="0" applyFont="1"/>
    <xf numFmtId="0" fontId="9" fillId="28" borderId="0" xfId="0" applyFont="1" applyFill="1"/>
    <xf numFmtId="0" fontId="0" fillId="28" borderId="0" xfId="0" applyFill="1"/>
    <xf numFmtId="0" fontId="7" fillId="29" borderId="0" xfId="0" applyFont="1" applyFill="1" applyAlignment="1">
      <alignment horizontal="center"/>
    </xf>
    <xf numFmtId="0" fontId="7" fillId="30" borderId="0" xfId="0" applyFont="1" applyFill="1" applyAlignment="1">
      <alignment horizontal="center"/>
    </xf>
    <xf numFmtId="0" fontId="7" fillId="31" borderId="0" xfId="0" applyFont="1" applyFill="1" applyAlignment="1">
      <alignment horizontal="center"/>
    </xf>
    <xf numFmtId="0" fontId="8" fillId="27" borderId="0" xfId="0" applyFont="1" applyFill="1"/>
    <xf numFmtId="0" fontId="8" fillId="32" borderId="0" xfId="0" applyFont="1" applyFill="1"/>
    <xf numFmtId="0" fontId="0" fillId="32" borderId="0" xfId="0" applyFill="1"/>
    <xf numFmtId="9" fontId="0" fillId="0" borderId="0" xfId="0" applyNumberFormat="1"/>
    <xf numFmtId="0" fontId="9" fillId="32" borderId="0" xfId="0" applyFont="1" applyFill="1"/>
    <xf numFmtId="0" fontId="16" fillId="19" borderId="0" xfId="0" applyFont="1" applyFill="1"/>
    <xf numFmtId="0" fontId="0" fillId="19" borderId="0" xfId="0" applyFill="1"/>
    <xf numFmtId="0" fontId="17" fillId="0" borderId="0" xfId="0" applyFont="1"/>
    <xf numFmtId="0" fontId="16" fillId="22" borderId="0" xfId="0" applyFont="1" applyFill="1"/>
    <xf numFmtId="0" fontId="0" fillId="22" borderId="0" xfId="0" applyFill="1"/>
    <xf numFmtId="0" fontId="16" fillId="18" borderId="0" xfId="0" applyFont="1" applyFill="1"/>
    <xf numFmtId="0" fontId="0" fillId="18" borderId="0" xfId="0" applyFill="1"/>
    <xf numFmtId="0" fontId="15" fillId="33" borderId="0" xfId="0" applyFont="1" applyFill="1"/>
    <xf numFmtId="0" fontId="8" fillId="34" borderId="0" xfId="0" applyFont="1" applyFill="1"/>
    <xf numFmtId="0" fontId="0" fillId="34" borderId="0" xfId="0" applyFill="1"/>
    <xf numFmtId="0" fontId="7" fillId="35" borderId="0" xfId="0" applyFont="1" applyFill="1"/>
    <xf numFmtId="164" fontId="0" fillId="0" borderId="0" xfId="0" applyNumberFormat="1"/>
    <xf numFmtId="0" fontId="18" fillId="0" borderId="0" xfId="0" applyFont="1"/>
    <xf numFmtId="0" fontId="19" fillId="0" borderId="0" xfId="0" applyFont="1"/>
    <xf numFmtId="0" fontId="20" fillId="0" borderId="0" xfId="0" applyFont="1"/>
    <xf numFmtId="0" fontId="21" fillId="0" borderId="0" xfId="0" applyFont="1"/>
    <xf numFmtId="0" fontId="0" fillId="33" borderId="0" xfId="0" applyFill="1"/>
    <xf numFmtId="0" fontId="22" fillId="0" borderId="0" xfId="0" applyFont="1"/>
    <xf numFmtId="0" fontId="23" fillId="0" borderId="0" xfId="0" applyFont="1"/>
    <xf numFmtId="0" fontId="15" fillId="36" borderId="0" xfId="0" applyFont="1" applyFill="1"/>
    <xf numFmtId="0" fontId="9" fillId="34" borderId="0" xfId="0" applyFont="1" applyFill="1"/>
    <xf numFmtId="0" fontId="7" fillId="37" borderId="0" xfId="0" applyFont="1" applyFill="1"/>
    <xf numFmtId="0" fontId="7" fillId="38" borderId="0" xfId="0" applyFont="1" applyFill="1"/>
    <xf numFmtId="0" fontId="7" fillId="39" borderId="0" xfId="0" applyFont="1" applyFill="1"/>
    <xf numFmtId="0" fontId="24" fillId="34" borderId="0" xfId="0" applyFont="1" applyFill="1"/>
    <xf numFmtId="0" fontId="25" fillId="35" borderId="0" xfId="0" applyFont="1" applyFill="1"/>
    <xf numFmtId="0" fontId="0" fillId="35" borderId="0" xfId="0" applyFill="1"/>
    <xf numFmtId="0" fontId="0" fillId="36" borderId="0" xfId="0" applyFill="1"/>
    <xf numFmtId="0" fontId="26" fillId="0" borderId="0" xfId="0" applyFont="1"/>
    <xf numFmtId="0" fontId="27" fillId="0" borderId="0" xfId="0" applyFont="1"/>
    <xf numFmtId="0" fontId="28" fillId="0" borderId="0" xfId="0" applyFont="1"/>
    <xf numFmtId="164" fontId="28" fillId="0" borderId="0" xfId="0" applyNumberFormat="1" applyFont="1"/>
    <xf numFmtId="164" fontId="29" fillId="0" borderId="0" xfId="0" applyNumberFormat="1" applyFont="1"/>
    <xf numFmtId="165" fontId="26" fillId="0" borderId="0" xfId="0" applyNumberFormat="1" applyFont="1"/>
    <xf numFmtId="0" fontId="30" fillId="0" borderId="0" xfId="0" applyFont="1"/>
    <xf numFmtId="0" fontId="31" fillId="0" borderId="0" xfId="0" applyFont="1"/>
    <xf numFmtId="0" fontId="32" fillId="0" borderId="0" xfId="0" applyFont="1"/>
    <xf numFmtId="0" fontId="33" fillId="0" borderId="0" xfId="0" applyFont="1"/>
    <xf numFmtId="0" fontId="15" fillId="40" borderId="0" xfId="0" applyFont="1" applyFill="1"/>
    <xf numFmtId="0" fontId="0" fillId="40" borderId="0" xfId="0" applyFill="1"/>
    <xf numFmtId="164" fontId="7" fillId="0" borderId="0" xfId="0" applyNumberFormat="1" applyFont="1"/>
    <xf numFmtId="0" fontId="15" fillId="41" borderId="0" xfId="0" applyFont="1" applyFill="1"/>
    <xf numFmtId="0" fontId="0" fillId="41" borderId="0" xfId="0" applyFill="1"/>
    <xf numFmtId="0" fontId="7" fillId="42" borderId="0" xfId="0" applyFont="1" applyFill="1"/>
    <xf numFmtId="0" fontId="15" fillId="43" borderId="0" xfId="0" applyFont="1" applyFill="1"/>
    <xf numFmtId="0" fontId="0" fillId="43" borderId="0" xfId="0" applyFill="1"/>
    <xf numFmtId="0" fontId="7" fillId="44" borderId="0" xfId="0" applyFont="1" applyFill="1"/>
    <xf numFmtId="0" fontId="15" fillId="45" borderId="0" xfId="0" applyFont="1" applyFill="1"/>
    <xf numFmtId="0" fontId="0" fillId="45" borderId="0" xfId="0" applyFill="1"/>
    <xf numFmtId="0" fontId="7" fillId="46" borderId="0" xfId="0" applyFont="1" applyFill="1"/>
    <xf numFmtId="0" fontId="4" fillId="0" borderId="0" xfId="0" applyFont="1"/>
    <xf numFmtId="0" fontId="0" fillId="0" borderId="0" xfId="0"/>
    <xf numFmtId="0" fontId="9" fillId="47" borderId="0" xfId="0" applyFont="1" applyFill="1"/>
    <xf numFmtId="0" fontId="0" fillId="47" borderId="0" xfId="0" applyFill="1"/>
    <xf numFmtId="14" fontId="0" fillId="0" borderId="0" xfId="0" applyNumberFormat="1"/>
    <xf numFmtId="0" fontId="16" fillId="48" borderId="0" xfId="0" applyFont="1" applyFill="1"/>
    <xf numFmtId="0" fontId="0" fillId="48" borderId="0" xfId="0" applyFill="1"/>
    <xf numFmtId="10" fontId="35" fillId="0" borderId="0" xfId="0" applyNumberFormat="1" applyFont="1"/>
    <xf numFmtId="0" fontId="16" fillId="21" borderId="0" xfId="0" applyFont="1" applyFill="1"/>
    <xf numFmtId="0" fontId="0" fillId="21" borderId="0" xfId="0" applyFill="1"/>
    <xf numFmtId="10" fontId="36" fillId="0" borderId="0" xfId="0" applyNumberFormat="1" applyFont="1"/>
    <xf numFmtId="0" fontId="15" fillId="23" borderId="0" xfId="0" applyFont="1" applyFill="1"/>
    <xf numFmtId="0" fontId="15" fillId="23" borderId="0" xfId="0" applyFont="1" applyFill="1" applyAlignment="1">
      <alignment horizontal="center"/>
    </xf>
    <xf numFmtId="0" fontId="0" fillId="20" borderId="0" xfId="0" applyFill="1"/>
    <xf numFmtId="0" fontId="36" fillId="0" borderId="0" xfId="0" applyFont="1"/>
    <xf numFmtId="0" fontId="34" fillId="0" borderId="0" xfId="0" applyFont="1"/>
    <xf numFmtId="0" fontId="35" fillId="0" borderId="0" xfId="0" applyFont="1"/>
    <xf numFmtId="0" fontId="16" fillId="29" borderId="0" xfId="0" applyFont="1" applyFill="1"/>
    <xf numFmtId="0" fontId="0" fillId="29" borderId="0" xfId="0" applyFill="1"/>
    <xf numFmtId="0" fontId="37" fillId="0" borderId="0" xfId="0" applyFont="1"/>
    <xf numFmtId="0" fontId="38" fillId="0" borderId="0" xfId="0" applyFont="1"/>
    <xf numFmtId="0" fontId="16" fillId="49" borderId="0" xfId="0" applyFont="1" applyFill="1"/>
    <xf numFmtId="0" fontId="0" fillId="49" borderId="0" xfId="0" applyFill="1"/>
    <xf numFmtId="0" fontId="16" fillId="20" borderId="0" xfId="0" applyFont="1" applyFill="1"/>
    <xf numFmtId="0" fontId="15" fillId="32" borderId="0" xfId="0" applyFont="1" applyFill="1" applyAlignment="1">
      <alignment horizontal="center"/>
    </xf>
    <xf numFmtId="0" fontId="7" fillId="50" borderId="0" xfId="0" applyFont="1" applyFill="1"/>
    <xf numFmtId="0" fontId="0" fillId="50" borderId="0" xfId="0" applyFill="1"/>
    <xf numFmtId="0" fontId="17" fillId="50" borderId="0" xfId="0" applyFont="1" applyFill="1"/>
    <xf numFmtId="165" fontId="17" fillId="0" borderId="0" xfId="0" applyNumberFormat="1" applyFont="1"/>
    <xf numFmtId="0" fontId="39" fillId="0" borderId="0" xfId="0" applyFont="1"/>
    <xf numFmtId="166" fontId="17" fillId="0" borderId="0" xfId="0" applyNumberFormat="1" applyFont="1"/>
    <xf numFmtId="0" fontId="40" fillId="0" borderId="0" xfId="0" applyFont="1"/>
    <xf numFmtId="0" fontId="15" fillId="51" borderId="0" xfId="0" applyFont="1" applyFill="1"/>
    <xf numFmtId="0" fontId="7" fillId="48" borderId="0" xfId="0" applyFont="1" applyFill="1"/>
    <xf numFmtId="0" fontId="36" fillId="50" borderId="0" xfId="0" applyFont="1" applyFill="1"/>
    <xf numFmtId="0" fontId="8" fillId="52" borderId="0" xfId="0" applyFont="1" applyFill="1"/>
    <xf numFmtId="0" fontId="7" fillId="21" borderId="0" xfId="0" applyFont="1" applyFill="1"/>
    <xf numFmtId="0" fontId="8" fillId="53" borderId="0" xfId="0" applyFont="1" applyFill="1"/>
    <xf numFmtId="0" fontId="7" fillId="29" borderId="0" xfId="0" applyFont="1" applyFill="1"/>
    <xf numFmtId="0" fontId="7" fillId="49" borderId="0" xfId="0" applyFont="1" applyFill="1"/>
    <xf numFmtId="0" fontId="9" fillId="54" borderId="0" xfId="0" applyFont="1" applyFill="1"/>
    <xf numFmtId="0" fontId="8" fillId="54" borderId="0" xfId="0" applyFont="1" applyFill="1"/>
    <xf numFmtId="0" fontId="41" fillId="54" borderId="0" xfId="0" applyFont="1" applyFill="1"/>
    <xf numFmtId="0" fontId="8" fillId="28" borderId="0" xfId="0" applyFont="1" applyFill="1"/>
    <xf numFmtId="0" fontId="7" fillId="55" borderId="0" xfId="0" applyFont="1" applyFill="1"/>
    <xf numFmtId="10" fontId="17" fillId="0" borderId="0" xfId="0" applyNumberFormat="1" applyFont="1"/>
    <xf numFmtId="0" fontId="8" fillId="51" borderId="0" xfId="0" applyFont="1" applyFill="1"/>
    <xf numFmtId="0" fontId="0" fillId="56" borderId="0" xfId="0" applyFill="1"/>
    <xf numFmtId="0" fontId="0" fillId="30" borderId="0" xfId="0" applyFill="1"/>
    <xf numFmtId="0" fontId="42" fillId="0" borderId="0" xfId="0" applyFont="1"/>
    <xf numFmtId="0" fontId="43" fillId="0" borderId="0" xfId="0" applyFont="1"/>
    <xf numFmtId="0" fontId="0" fillId="31" borderId="0" xfId="0" applyFill="1"/>
    <xf numFmtId="0" fontId="0" fillId="57" borderId="0" xfId="0" applyFill="1"/>
    <xf numFmtId="0" fontId="0" fillId="0" borderId="0" xfId="0" pivotButton="1"/>
    <xf numFmtId="0" fontId="0" fillId="0" borderId="0" xfId="0" applyAlignment="1">
      <alignment horizontal="left"/>
    </xf>
    <xf numFmtId="0" fontId="0" fillId="0" borderId="0" xfId="0" applyNumberFormat="1"/>
    <xf numFmtId="0" fontId="7" fillId="58" borderId="0" xfId="0" applyFont="1" applyFill="1" applyAlignment="1">
      <alignment horizontal="left"/>
    </xf>
    <xf numFmtId="0" fontId="7" fillId="58"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Distribución por Tipo de Skill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doughnutChart>
        <c:varyColors val="1"/>
        <c:ser>
          <c:idx val="0"/>
          <c:order val="0"/>
          <c:tx>
            <c:strRef>
              <c:f>'13_Dashboard'!$B$15</c:f>
              <c:strCache>
                <c:ptCount val="1"/>
                <c:pt idx="0">
                  <c:v>Cantidad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4CF-4DFE-A02A-6E4D1F89E09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4CF-4DFE-A02A-6E4D1F89E09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4CF-4DFE-A02A-6E4D1F89E09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4CF-4DFE-A02A-6E4D1F89E09E}"/>
              </c:ext>
            </c:extLst>
          </c:dPt>
          <c:cat>
            <c:strRef>
              <c:f>'13_Dashboard'!$A$16:$A$19</c:f>
              <c:strCache>
                <c:ptCount val="4"/>
                <c:pt idx="0">
                  <c:v>Técnica</c:v>
                </c:pt>
                <c:pt idx="1">
                  <c:v>Soft Skill</c:v>
                </c:pt>
                <c:pt idx="2">
                  <c:v>Gestión</c:v>
                </c:pt>
                <c:pt idx="3">
                  <c:v>Servicio</c:v>
                </c:pt>
              </c:strCache>
            </c:strRef>
          </c:cat>
          <c:val>
            <c:numRef>
              <c:f>'13_Dashboard'!$B$16:$B$19</c:f>
              <c:numCache>
                <c:formatCode>General</c:formatCode>
                <c:ptCount val="4"/>
                <c:pt idx="0">
                  <c:v>58</c:v>
                </c:pt>
                <c:pt idx="1">
                  <c:v>72</c:v>
                </c:pt>
                <c:pt idx="2">
                  <c:v>5</c:v>
                </c:pt>
                <c:pt idx="3">
                  <c:v>9</c:v>
                </c:pt>
              </c:numCache>
            </c:numRef>
          </c:val>
          <c:extLst>
            <c:ext xmlns:c16="http://schemas.microsoft.com/office/drawing/2014/chart" uri="{C3380CC4-5D6E-409C-BE32-E72D297353CC}">
              <c16:uniqueId val="{00000000-B349-4FA0-B528-560FBE1D0CA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Skills Digitales vs No Digitales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doughnutChart>
        <c:varyColors val="1"/>
        <c:ser>
          <c:idx val="0"/>
          <c:order val="0"/>
          <c:tx>
            <c:strRef>
              <c:f>'13_Dashboard'!$F$15</c:f>
              <c:strCache>
                <c:ptCount val="1"/>
                <c:pt idx="0">
                  <c:v>Cantidad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D3A-404C-9877-F5B54C42BAD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D3A-404C-9877-F5B54C42BADA}"/>
              </c:ext>
            </c:extLst>
          </c:dPt>
          <c:cat>
            <c:strRef>
              <c:f>'13_Dashboard'!$E$16:$E$17</c:f>
              <c:strCache>
                <c:ptCount val="2"/>
                <c:pt idx="0">
                  <c:v>Sí ✅</c:v>
                </c:pt>
                <c:pt idx="1">
                  <c:v>No ❌</c:v>
                </c:pt>
              </c:strCache>
            </c:strRef>
          </c:cat>
          <c:val>
            <c:numRef>
              <c:f>'13_Dashboard'!$F$16:$F$17</c:f>
              <c:numCache>
                <c:formatCode>General</c:formatCode>
                <c:ptCount val="2"/>
                <c:pt idx="0">
                  <c:v>54</c:v>
                </c:pt>
                <c:pt idx="1">
                  <c:v>92</c:v>
                </c:pt>
              </c:numCache>
            </c:numRef>
          </c:val>
          <c:extLst>
            <c:ext xmlns:c16="http://schemas.microsoft.com/office/drawing/2014/chart" uri="{C3380CC4-5D6E-409C-BE32-E72D297353CC}">
              <c16:uniqueId val="{00000000-3698-48E7-B311-6FD305BED58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Skills por Grupo ESCO L1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bar"/>
        <c:grouping val="clustered"/>
        <c:varyColors val="0"/>
        <c:ser>
          <c:idx val="0"/>
          <c:order val="0"/>
          <c:tx>
            <c:strRef>
              <c:f>'13_Dashboard'!$B$25</c:f>
              <c:strCache>
                <c:ptCount val="1"/>
                <c:pt idx="0">
                  <c:v>Cantidad</c:v>
                </c:pt>
              </c:strCache>
            </c:strRef>
          </c:tx>
          <c:spPr>
            <a:solidFill>
              <a:schemeClr val="accent1"/>
            </a:solidFill>
            <a:ln>
              <a:noFill/>
            </a:ln>
            <a:effectLst/>
          </c:spPr>
          <c:invertIfNegative val="0"/>
          <c:cat>
            <c:strRef>
              <c:f>'13_Dashboard'!$A$26:$A$32</c:f>
              <c:strCache>
                <c:ptCount val="7"/>
                <c:pt idx="0">
                  <c:v>T - Transversales</c:v>
                </c:pt>
                <c:pt idx="1">
                  <c:v>S5 - Digital</c:v>
                </c:pt>
                <c:pt idx="2">
                  <c:v>S3 - Asistencia</c:v>
                </c:pt>
                <c:pt idx="3">
                  <c:v>S4 - Gestión</c:v>
                </c:pt>
                <c:pt idx="4">
                  <c:v>S6 - Técnicas</c:v>
                </c:pt>
                <c:pt idx="5">
                  <c:v>S1 - Comunicación</c:v>
                </c:pt>
                <c:pt idx="6">
                  <c:v>K - Conocimientos</c:v>
                </c:pt>
              </c:strCache>
            </c:strRef>
          </c:cat>
          <c:val>
            <c:numRef>
              <c:f>'13_Dashboard'!$B$26:$B$32</c:f>
              <c:numCache>
                <c:formatCode>General</c:formatCode>
                <c:ptCount val="7"/>
                <c:pt idx="0">
                  <c:v>72</c:v>
                </c:pt>
                <c:pt idx="1">
                  <c:v>50</c:v>
                </c:pt>
                <c:pt idx="2">
                  <c:v>9</c:v>
                </c:pt>
                <c:pt idx="3">
                  <c:v>5</c:v>
                </c:pt>
                <c:pt idx="4">
                  <c:v>6</c:v>
                </c:pt>
                <c:pt idx="5">
                  <c:v>3</c:v>
                </c:pt>
                <c:pt idx="6">
                  <c:v>1</c:v>
                </c:pt>
              </c:numCache>
            </c:numRef>
          </c:val>
          <c:extLst>
            <c:ext xmlns:c16="http://schemas.microsoft.com/office/drawing/2014/chart" uri="{C3380CC4-5D6E-409C-BE32-E72D297353CC}">
              <c16:uniqueId val="{00000000-5D4E-409E-8FEC-E2801FDAEB5B}"/>
            </c:ext>
          </c:extLst>
        </c:ser>
        <c:dLbls>
          <c:showLegendKey val="0"/>
          <c:showVal val="0"/>
          <c:showCatName val="0"/>
          <c:showSerName val="0"/>
          <c:showPercent val="0"/>
          <c:showBubbleSize val="0"/>
        </c:dLbls>
        <c:gapWidth val="182"/>
        <c:axId val="2059123360"/>
        <c:axId val="2059125280"/>
      </c:barChart>
      <c:catAx>
        <c:axId val="2059123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059125280"/>
        <c:crosses val="autoZero"/>
        <c:auto val="1"/>
        <c:lblAlgn val="ctr"/>
        <c:lblOffset val="100"/>
        <c:noMultiLvlLbl val="0"/>
      </c:catAx>
      <c:valAx>
        <c:axId val="20591252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059123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38100</xdr:colOff>
      <xdr:row>4</xdr:row>
      <xdr:rowOff>0</xdr:rowOff>
    </xdr:from>
    <xdr:to>
      <xdr:col>14</xdr:col>
      <xdr:colOff>38100</xdr:colOff>
      <xdr:row>16</xdr:row>
      <xdr:rowOff>149225</xdr:rowOff>
    </xdr:to>
    <xdr:graphicFrame macro="">
      <xdr:nvGraphicFramePr>
        <xdr:cNvPr id="2" name="Gráfico 1">
          <a:extLst>
            <a:ext uri="{FF2B5EF4-FFF2-40B4-BE49-F238E27FC236}">
              <a16:creationId xmlns:a16="http://schemas.microsoft.com/office/drawing/2014/main" id="{83EACA7B-ABA9-0323-05BF-A25AC44082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12700</xdr:colOff>
      <xdr:row>17</xdr:row>
      <xdr:rowOff>146050</xdr:rowOff>
    </xdr:from>
    <xdr:to>
      <xdr:col>14</xdr:col>
      <xdr:colOff>12700</xdr:colOff>
      <xdr:row>32</xdr:row>
      <xdr:rowOff>31750</xdr:rowOff>
    </xdr:to>
    <xdr:graphicFrame macro="">
      <xdr:nvGraphicFramePr>
        <xdr:cNvPr id="3" name="Gráfico 2">
          <a:extLst>
            <a:ext uri="{FF2B5EF4-FFF2-40B4-BE49-F238E27FC236}">
              <a16:creationId xmlns:a16="http://schemas.microsoft.com/office/drawing/2014/main" id="{97670E38-AD8B-EEE1-DDB4-F4DC85E24D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12700</xdr:colOff>
      <xdr:row>33</xdr:row>
      <xdr:rowOff>6350</xdr:rowOff>
    </xdr:from>
    <xdr:to>
      <xdr:col>14</xdr:col>
      <xdr:colOff>12700</xdr:colOff>
      <xdr:row>47</xdr:row>
      <xdr:rowOff>82550</xdr:rowOff>
    </xdr:to>
    <xdr:graphicFrame macro="">
      <xdr:nvGraphicFramePr>
        <xdr:cNvPr id="4" name="Gráfico 3">
          <a:extLst>
            <a:ext uri="{FF2B5EF4-FFF2-40B4-BE49-F238E27FC236}">
              <a16:creationId xmlns:a16="http://schemas.microsoft.com/office/drawing/2014/main" id="{0AD63592-EE20-38F1-CCFF-C249A6D780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erardo Breard" refreshedDate="46006.704396990739" createdVersion="8" refreshedVersion="8" minRefreshableVersion="3" recordCount="600" xr:uid="{0F8E9349-2285-4C96-8865-56ECCFA8E417}">
  <cacheSource type="worksheet">
    <worksheetSource ref="A1:K1048576" sheet="17_Skills_Completas_ESCO"/>
  </cacheSource>
  <cacheFields count="11">
    <cacheField name="ID Oferta" numFmtId="0">
      <sharedItems containsString="0" containsBlank="1" containsNumber="1" containsInteger="1" minValue="2162667" maxValue="1118031991"/>
    </cacheField>
    <cacheField name="Título" numFmtId="0">
      <sharedItems containsBlank="1"/>
    </cacheField>
    <cacheField name="Origen" numFmtId="0">
      <sharedItems containsBlank="1"/>
    </cacheField>
    <cacheField name="Texto Original" numFmtId="0">
      <sharedItems containsBlank="1"/>
    </cacheField>
    <cacheField name="ESCO Skill" numFmtId="0">
      <sharedItems containsBlank="1"/>
    </cacheField>
    <cacheField name="Tipo Skill" numFmtId="0">
      <sharedItems containsBlank="1" count="9">
        <s v="Soft Skill"/>
        <s v="Gestión"/>
        <s v="Técnica"/>
        <s v="Digital"/>
        <s v="Servicio"/>
        <s v="Marketing"/>
        <s v="Idioma"/>
        <s v="Otra"/>
        <m/>
      </sharedItems>
    </cacheField>
    <cacheField name="Categoría" numFmtId="0">
      <sharedItems containsBlank="1"/>
    </cacheField>
    <cacheField name="Es Digital" numFmtId="0">
      <sharedItems containsBlank="1"/>
    </cacheField>
    <cacheField name="Ocupación ESCO" numFmtId="0">
      <sharedItems containsBlank="1"/>
    </cacheField>
    <cacheField name="Código ISCO" numFmtId="0">
      <sharedItems containsString="0" containsBlank="1" containsNumber="1" containsInteger="1" minValue="1219" maxValue="9334"/>
    </cacheField>
    <cacheField name="Label ISCO"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erardo Breard" refreshedDate="46006.704931712964" createdVersion="8" refreshedVersion="8" minRefreshableVersion="3" recordCount="155" xr:uid="{40E6F238-BB91-4E64-AA2C-6FDEC7FB2749}">
  <cacheSource type="worksheet">
    <worksheetSource ref="B1:K1048576" sheet="11_Ofertas_Skills_ESCO"/>
  </cacheSource>
  <cacheFields count="10">
    <cacheField name="Título Puesto" numFmtId="0">
      <sharedItems containsBlank="1"/>
    </cacheField>
    <cacheField name="Skill Original (NLP)" numFmtId="0">
      <sharedItems containsBlank="1"/>
    </cacheField>
    <cacheField name="ESCO Skill" numFmtId="0">
      <sharedItems containsBlank="1" count="63">
        <s v="utilizar software ofimático"/>
        <s v="gestionar canales venta online"/>
        <s v="utilizar herramientas informáticas"/>
        <s v="trabajar en equipo"/>
        <s v="comunicarse eficazmente"/>
        <s v="gestionar inventario"/>
        <s v="procesar facturas"/>
        <s v="realizar cierres contables"/>
        <s v="liderar equipos"/>
        <s v="trabajar autónomamente"/>
        <s v="utilizar software CRM"/>
        <s v="prestar atención al cliente"/>
        <s v="prestar atención al paciente"/>
        <s v="aplicar técnicas negociación"/>
        <s v="resolver problemas"/>
        <s v="utilizar comunicación digital"/>
        <s v="gestionar redes sociales"/>
        <s v="utilizar software CAD"/>
        <s v="utilizar sistemas ERP"/>
        <s v="aplicar gestión procesos negocio"/>
        <s v="utilizar hojas de cálculo"/>
        <s v="utilizar software diseño patrones"/>
        <s v="mostrar iniciativa"/>
        <s v="orientación a resultados"/>
        <s v="buscar excelencia"/>
        <s v="demostrar liderazgo"/>
        <s v="realizar SEO"/>
        <s v="gestionar publicidad online"/>
        <s v="pensar creativamente"/>
        <s v="prestar atención al detalle"/>
        <s v="gestionar plataformas e-commerce"/>
        <s v="utilizar software edición video"/>
        <s v="aplicar habilidades de venta"/>
        <s v="aplicar pensamiento analítico"/>
        <s v="utilizar plataformas mensajería"/>
        <s v="aplicar tratamientos láser"/>
        <s v="establecer relaciones interpersonales"/>
        <s v="mantener actitud positiva"/>
        <s v="realizar mantenimiento equipos"/>
        <s v="interpretar planos técnicos"/>
        <s v="dimensionar instalaciones eléctricas"/>
        <s v="instalar canalizaciones eléctricas"/>
        <s v="armar tableros eléctricos"/>
        <s v="realizar mantenimiento vehículos"/>
        <s v="asumir responsabilidad"/>
        <s v="ser puntual"/>
        <s v="trabajar de forma autónoma"/>
        <s v="gestionar el tiempo"/>
        <s v="utilizar lenguajes programación"/>
        <s v="utilizar herramientas desarrollo"/>
        <s v="utilizar software edición imágenes"/>
        <s v="planificar y organizar"/>
        <s v="comunicarse de forma asertiva"/>
        <s v="adaptarse al cambio"/>
        <s v="disponibilidad para viajar"/>
        <s v="pensar de forma estratégica"/>
        <s v="utilizar sistemas punto venta"/>
        <s v="demostrar empatía"/>
        <s v="demostrar autoconfianza"/>
        <s v="gestionar presupuestos"/>
        <s v="trabajar bajo presión"/>
        <s v="N/A"/>
        <m/>
      </sharedItems>
    </cacheField>
    <cacheField name="ESCO Grupo L1" numFmtId="0">
      <sharedItems containsBlank="1"/>
    </cacheField>
    <cacheField name="Categoría" numFmtId="0">
      <sharedItems containsBlank="1"/>
    </cacheField>
    <cacheField name="Es Digital" numFmtId="0">
      <sharedItems containsBlank="1"/>
    </cacheField>
    <cacheField name="Tipo Skill" numFmtId="0">
      <sharedItems containsBlank="1" count="7">
        <s v="Técnica"/>
        <s v="Soft Skill"/>
        <s v="Gestión"/>
        <s v="Servicio"/>
        <s v="Otra"/>
        <s v="N/A"/>
        <m/>
      </sharedItems>
    </cacheField>
    <cacheField name="Ocupación ESCO" numFmtId="0">
      <sharedItems containsBlank="1"/>
    </cacheField>
    <cacheField name="Código ISCO" numFmtId="0">
      <sharedItems containsString="0" containsBlank="1" containsNumber="1" containsInteger="1" minValue="1219" maxValue="9334"/>
    </cacheField>
    <cacheField name="Label ISCO"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
  <r>
    <n v="2162667"/>
    <s v="Gerente de Operaciones"/>
    <s v="DECLARADA"/>
    <s v="habilidades de liderazgo"/>
    <s v="demostrar liderazgo"/>
    <x v="0"/>
    <s v="Liderazgo"/>
    <s v="No"/>
    <s v="Gerente de explotación minera"/>
    <n v="3121"/>
    <s v="Supervisores en ingeniería de minas"/>
  </r>
  <r>
    <n v="2162667"/>
    <s v="Gerente de Operaciones"/>
    <s v="IMPLÍCITA"/>
    <s v="Definir e implementar estrategias operativas"/>
    <s v="diseñar estrategias operativas"/>
    <x v="1"/>
    <m/>
    <s v="No"/>
    <s v="Gerente de explotación minera"/>
    <n v="3121"/>
    <s v="Supervisores en ingeniería de minas"/>
  </r>
  <r>
    <n v="2162667"/>
    <s v="Gerente de Operaciones"/>
    <s v="IMPLÍCITA"/>
    <s v="Definir e implementar estrategias operativas"/>
    <s v="implementar planes de acción"/>
    <x v="1"/>
    <m/>
    <s v="No"/>
    <s v="Gerente de explotación minera"/>
    <n v="3121"/>
    <s v="Supervisores en ingeniería de minas"/>
  </r>
  <r>
    <n v="2162667"/>
    <s v="Gerente de Operaciones"/>
    <s v="IMPLÍCITA"/>
    <s v="Dirigir equipos de coordinadores"/>
    <s v="liderar equipos gerenciales"/>
    <x v="1"/>
    <m/>
    <s v="No"/>
    <s v="Gerente de explotación minera"/>
    <n v="3121"/>
    <s v="Supervisores en ingeniería de minas"/>
  </r>
  <r>
    <n v="2162667"/>
    <s v="Gerente de Operaciones"/>
    <s v="IMPLÍCITA"/>
    <s v="Dirigir equipos de coordinadores"/>
    <s v="desarrollar talento organizacional"/>
    <x v="1"/>
    <m/>
    <s v="No"/>
    <s v="Gerente de explotación minera"/>
    <n v="3121"/>
    <s v="Supervisores en ingeniería de minas"/>
  </r>
  <r>
    <n v="2162667"/>
    <s v="Gerente de Operaciones"/>
    <s v="IMPLÍCITA"/>
    <s v="Asegurar cumplimiento de normas"/>
    <s v="aplicar normas de calidad"/>
    <x v="2"/>
    <m/>
    <s v="No"/>
    <s v="Gerente de explotación minera"/>
    <n v="3121"/>
    <s v="Supervisores en ingeniería de minas"/>
  </r>
  <r>
    <n v="2162667"/>
    <s v="Gerente de Operaciones"/>
    <s v="IMPLÍCITA"/>
    <s v="Asegurar cumplimiento de normas"/>
    <s v="gestionar seguridad e higiene"/>
    <x v="2"/>
    <m/>
    <s v="No"/>
    <s v="Gerente de explotación minera"/>
    <n v="3121"/>
    <s v="Supervisores en ingeniería de minas"/>
  </r>
  <r>
    <n v="2162667"/>
    <s v="Gerente de Operaciones"/>
    <s v="IMPLÍCITA"/>
    <s v="Monitorear KPIs y mejora continua"/>
    <s v="analizar indicadores de gestión"/>
    <x v="1"/>
    <m/>
    <s v="No"/>
    <s v="Gerente de explotación minera"/>
    <n v="3121"/>
    <s v="Supervisores en ingeniería de minas"/>
  </r>
  <r>
    <n v="2162667"/>
    <s v="Gerente de Operaciones"/>
    <s v="IMPLÍCITA"/>
    <s v="Monitorear KPIs y mejora continua"/>
    <s v="utilizar herramientas de BI"/>
    <x v="3"/>
    <m/>
    <s v="Sí"/>
    <s v="Gerente de explotación minera"/>
    <n v="3121"/>
    <s v="Supervisores en ingeniería de minas"/>
  </r>
  <r>
    <n v="2162667"/>
    <s v="Gerente de Operaciones"/>
    <s v="IMPLÍCITA"/>
    <s v="Monitorear KPIs y mejora continua"/>
    <s v="implementar mejora continua"/>
    <x v="1"/>
    <m/>
    <s v="No"/>
    <s v="Gerente de explotación minera"/>
    <n v="3121"/>
    <s v="Supervisores en ingeniería de minas"/>
  </r>
  <r>
    <n v="2162667"/>
    <s v="Gerente de Operaciones"/>
    <s v="IMPLÍCITA"/>
    <s v="Gestionar presupuestos operativos"/>
    <s v="elaborar presupuestos"/>
    <x v="1"/>
    <m/>
    <s v="No"/>
    <s v="Gerente de explotación minera"/>
    <n v="3121"/>
    <s v="Supervisores en ingeniería de minas"/>
  </r>
  <r>
    <n v="2162667"/>
    <s v="Gerente de Operaciones"/>
    <s v="IMPLÍCITA"/>
    <s v="Gestionar presupuestos operativos"/>
    <s v="controlar gastos operativos"/>
    <x v="1"/>
    <m/>
    <s v="No"/>
    <s v="Gerente de explotación minera"/>
    <n v="3121"/>
    <s v="Supervisores en ingeniería de minas"/>
  </r>
  <r>
    <n v="2162667"/>
    <s v="Gerente de Operaciones"/>
    <s v="IMPLÍCITA"/>
    <s v="Mantener relaciones con clientes corporativos"/>
    <s v="gestionar cuentas clave"/>
    <x v="2"/>
    <m/>
    <s v="No"/>
    <s v="Gerente de explotación minera"/>
    <n v="3121"/>
    <s v="Supervisores en ingeniería de minas"/>
  </r>
  <r>
    <n v="2162667"/>
    <s v="Gerente de Operaciones"/>
    <s v="IMPLÍCITA"/>
    <s v="Mantener relaciones con clientes corporativos"/>
    <s v="negociar contratos de servicio"/>
    <x v="2"/>
    <m/>
    <s v="No"/>
    <s v="Gerente de explotación minera"/>
    <n v="3121"/>
    <s v="Supervisores en ingeniería de minas"/>
  </r>
  <r>
    <n v="2164100"/>
    <s v="Mozo/Moza"/>
    <s v="DECLARADA"/>
    <s v="vocación de servicio"/>
    <s v="prestar atención al cliente"/>
    <x v="4"/>
    <s v="Orientación Cliente"/>
    <s v="No"/>
    <s v="Camarero/camarera"/>
    <n v="5131"/>
    <s v="Camareros de mesas"/>
  </r>
  <r>
    <n v="2164100"/>
    <s v="Mozo/Moza"/>
    <s v="DECLARADA"/>
    <s v="actitud cordial"/>
    <s v="mantener actitud positiva"/>
    <x v="0"/>
    <s v="Actitud Positiva"/>
    <s v="No"/>
    <s v="Camarero/camarera"/>
    <n v="5131"/>
    <s v="Camareros de mesas"/>
  </r>
  <r>
    <n v="2165052"/>
    <s v="Electricista Industrial"/>
    <s v="DECLARADA"/>
    <s v="mantenimiento preventivo y correctivo"/>
    <s v="realizar mantenimiento equipos"/>
    <x v="2"/>
    <s v="Mantenimiento"/>
    <s v="No"/>
    <s v="Electricista de obras"/>
    <n v="7411"/>
    <s v="Electricistas de obras y afines"/>
  </r>
  <r>
    <n v="2165052"/>
    <s v="Electricista Industrial"/>
    <s v="DECLARADA"/>
    <s v="interpretación de planos eléctricos"/>
    <s v="interpretar planos técnicos"/>
    <x v="2"/>
    <s v="Electricidad"/>
    <s v="No"/>
    <s v="Electricista de obras"/>
    <n v="7411"/>
    <s v="Electricistas de obras y afines"/>
  </r>
  <r>
    <n v="2165052"/>
    <s v="Electricista Industrial"/>
    <s v="DECLARADA"/>
    <s v="dimensionamiento de instalaciones eléctricas"/>
    <s v="dimensionar instalaciones eléctricas"/>
    <x v="2"/>
    <s v="Electricidad"/>
    <s v="No"/>
    <s v="Electricista de obras"/>
    <n v="7411"/>
    <s v="Electricistas de obras y afines"/>
  </r>
  <r>
    <n v="2165052"/>
    <s v="Electricista Industrial"/>
    <s v="DECLARADA"/>
    <s v="montaje de canalizaciones eléctricas"/>
    <s v="instalar canalizaciones eléctricas"/>
    <x v="2"/>
    <s v="Electricidad"/>
    <s v="No"/>
    <s v="Electricista de obras"/>
    <n v="7411"/>
    <s v="Electricistas de obras y afines"/>
  </r>
  <r>
    <n v="2165052"/>
    <s v="Electricista Industrial"/>
    <s v="DECLARADA"/>
    <s v="diseño y armado de tableros eléctricos"/>
    <s v="armar tableros eléctricos"/>
    <x v="2"/>
    <s v="Electricidad"/>
    <s v="No"/>
    <s v="Electricista de obras"/>
    <n v="7411"/>
    <s v="Electricistas de obras y afines"/>
  </r>
  <r>
    <n v="2165052"/>
    <s v="Electricista Industrial"/>
    <s v="IMPLÍCITA"/>
    <s v="Interpretar planos unifilares eléctricos"/>
    <s v="leer esquemas eléctricos"/>
    <x v="2"/>
    <m/>
    <s v="No"/>
    <s v="Electricista de obras"/>
    <n v="7411"/>
    <s v="Electricistas de obras y afines"/>
  </r>
  <r>
    <n v="2165052"/>
    <s v="Electricista Industrial"/>
    <s v="IMPLÍCITA"/>
    <s v="Dimensionar instalaciones eléctricas"/>
    <s v="calcular cargas eléctricas"/>
    <x v="2"/>
    <m/>
    <s v="No"/>
    <s v="Electricista de obras"/>
    <n v="7411"/>
    <s v="Electricistas de obras y afines"/>
  </r>
  <r>
    <n v="2165052"/>
    <s v="Electricista Industrial"/>
    <s v="IMPLÍCITA"/>
    <s v="Dimensionar instalaciones eléctricas"/>
    <s v="seleccionar componentes eléctricos"/>
    <x v="2"/>
    <m/>
    <s v="No"/>
    <s v="Electricista de obras"/>
    <n v="7411"/>
    <s v="Electricistas de obras y afines"/>
  </r>
  <r>
    <n v="2165052"/>
    <s v="Electricista Industrial"/>
    <s v="IMPLÍCITA"/>
    <s v="Montar canalizaciones eléctricas"/>
    <s v="tender cableado eléctrico"/>
    <x v="2"/>
    <m/>
    <s v="No"/>
    <s v="Electricista de obras"/>
    <n v="7411"/>
    <s v="Electricistas de obras y afines"/>
  </r>
  <r>
    <n v="2165052"/>
    <s v="Electricista Industrial"/>
    <s v="IMPLÍCITA"/>
    <s v="Diseñar y armar tableros eléctricos"/>
    <s v="programar automatismos"/>
    <x v="2"/>
    <m/>
    <s v="No"/>
    <s v="Electricista de obras"/>
    <n v="7411"/>
    <s v="Electricistas de obras y afines"/>
  </r>
  <r>
    <n v="2165052"/>
    <s v="Electricista Industrial"/>
    <s v="IMPLÍCITA"/>
    <s v="Diseñar y armar tableros eléctricos"/>
    <s v="realizar conexiones eléctricas"/>
    <x v="2"/>
    <m/>
    <s v="No"/>
    <s v="Electricista de obras"/>
    <n v="7411"/>
    <s v="Electricistas de obras y afines"/>
  </r>
  <r>
    <n v="2165301"/>
    <s v="Supervisor/a Administración Autos usados"/>
    <s v="DECLARADA"/>
    <s v="manejo avanzado de paquete Office"/>
    <s v="utilizar software ofimático"/>
    <x v="2"/>
    <s v="Software Ofimático"/>
    <s v="Sí"/>
    <s v="Director de departamento de administración"/>
    <n v="3341"/>
    <s v="Supervisores de secretaría"/>
  </r>
  <r>
    <n v="2165301"/>
    <s v="Supervisor/a Administración Autos usados"/>
    <s v="DECLARADA"/>
    <s v="habilidad en liderazgo y coordinación de equipos"/>
    <s v="demostrar liderazgo"/>
    <x v="0"/>
    <s v="Liderazgo"/>
    <s v="No"/>
    <s v="Director de departamento de administración"/>
    <n v="3341"/>
    <s v="Supervisores de secretaría"/>
  </r>
  <r>
    <n v="2165301"/>
    <s v="Supervisor/a Administración Autos usados"/>
    <s v="IMPLÍCITA"/>
    <s v="Optimizar procesos para reducir costos"/>
    <s v="analizar procesos operativos"/>
    <x v="1"/>
    <m/>
    <s v="No"/>
    <s v="Director de departamento de administración"/>
    <n v="3341"/>
    <s v="Supervisores de secretaría"/>
  </r>
  <r>
    <n v="2165301"/>
    <s v="Supervisor/a Administración Autos usados"/>
    <s v="IMPLÍCITA"/>
    <s v="Optimizar procesos para reducir costos"/>
    <s v="implementar mejoras de eficiencia"/>
    <x v="1"/>
    <m/>
    <s v="No"/>
    <s v="Director de departamento de administración"/>
    <n v="3341"/>
    <s v="Supervisores de secretaría"/>
  </r>
  <r>
    <n v="2165301"/>
    <s v="Supervisor/a Administración Autos usados"/>
    <s v="IMPLÍCITA"/>
    <s v="Garantizar administración ordenada"/>
    <s v="gestionar documentación vehicular"/>
    <x v="2"/>
    <m/>
    <s v="No"/>
    <s v="Director de departamento de administración"/>
    <n v="3341"/>
    <s v="Supervisores de secretaría"/>
  </r>
  <r>
    <n v="2165301"/>
    <s v="Supervisor/a Administración Autos usados"/>
    <s v="IMPLÍCITA"/>
    <s v="Garantizar administración ordenada"/>
    <s v="controlar indicadores de gestión"/>
    <x v="1"/>
    <m/>
    <s v="No"/>
    <s v="Director de departamento de administración"/>
    <n v="3341"/>
    <s v="Supervisores de secretaría"/>
  </r>
  <r>
    <n v="2170124"/>
    <s v="Analista de Cultivo - Roque Pérez - BA"/>
    <s v="DECLARADA"/>
    <s v="SAP/Cencerro"/>
    <s v="utilizar sistemas ERP"/>
    <x v="2"/>
    <s v="ERP/Gestión"/>
    <s v="Sí"/>
    <s v="Ingeniero agrícola/ingeniera agrícola"/>
    <n v="2144"/>
    <s v="Ingenieros mecánicos"/>
  </r>
  <r>
    <n v="2170124"/>
    <s v="Analista de Cultivo - Roque Pérez - BA"/>
    <s v="DECLARADA"/>
    <s v="SIMA"/>
    <s v="utilizar sistemas ERP"/>
    <x v="2"/>
    <s v="ERP/Gestión"/>
    <s v="Sí"/>
    <s v="Ingeniero agrícola/ingeniera agrícola"/>
    <n v="2144"/>
    <s v="Ingenieros mecánicos"/>
  </r>
  <r>
    <n v="2170124"/>
    <s v="Analista de Cultivo - Roque Pérez - BA"/>
    <s v="DECLARADA"/>
    <s v="Paquete Office"/>
    <s v="utilizar software ofimático"/>
    <x v="2"/>
    <s v="Software Ofimático"/>
    <s v="Sí"/>
    <s v="Ingeniero agrícola/ingeniera agrícola"/>
    <n v="2144"/>
    <s v="Ingenieros mecánicos"/>
  </r>
  <r>
    <n v="2170124"/>
    <s v="Analista de Cultivo - Roque Pérez - BA"/>
    <s v="IMPLÍCITA"/>
    <s v="Control y seguimiento de cultivos"/>
    <s v="monitorear desarrollo de cultivos"/>
    <x v="2"/>
    <m/>
    <s v="No"/>
    <s v="Ingeniero agrícola/ingeniera agrícola"/>
    <n v="2144"/>
    <s v="Ingenieros mecánicos"/>
  </r>
  <r>
    <n v="2170124"/>
    <s v="Analista de Cultivo - Roque Pérez - BA"/>
    <s v="IMPLÍCITA"/>
    <s v="Control y seguimiento de cultivos"/>
    <s v="registrar datos agronómicos"/>
    <x v="2"/>
    <m/>
    <s v="No"/>
    <s v="Ingeniero agrícola/ingeniera agrícola"/>
    <n v="2144"/>
    <s v="Ingenieros mecánicos"/>
  </r>
  <r>
    <n v="2170124"/>
    <s v="Analista de Cultivo - Roque Pérez - BA"/>
    <s v="IMPLÍCITA"/>
    <s v="Gestión de malezas, insectos y enfermedades"/>
    <s v="identificar plagas y enfermedades"/>
    <x v="2"/>
    <m/>
    <s v="No"/>
    <s v="Ingeniero agrícola/ingeniera agrícola"/>
    <n v="2144"/>
    <s v="Ingenieros mecánicos"/>
  </r>
  <r>
    <n v="2170124"/>
    <s v="Analista de Cultivo - Roque Pérez - BA"/>
    <s v="IMPLÍCITA"/>
    <s v="Gestión de malezas, insectos y enfermedades"/>
    <s v="aplicar tratamientos fitosanitarios"/>
    <x v="2"/>
    <m/>
    <s v="No"/>
    <s v="Ingeniero agrícola/ingeniera agrícola"/>
    <n v="2144"/>
    <s v="Ingenieros mecánicos"/>
  </r>
  <r>
    <n v="2170124"/>
    <s v="Analista de Cultivo - Roque Pérez - BA"/>
    <s v="IMPLÍCITA"/>
    <s v="Gestión de malezas, insectos y enfermedades"/>
    <s v="planificar rotación de cultivos"/>
    <x v="2"/>
    <m/>
    <s v="No"/>
    <s v="Ingeniero agrícola/ingeniera agrícola"/>
    <n v="2144"/>
    <s v="Ingenieros mecánicos"/>
  </r>
  <r>
    <n v="2170124"/>
    <s v="Analista de Cultivo - Roque Pérez - BA"/>
    <s v="IMPLÍCITA"/>
    <s v="Ejecución de siembras y cosechas"/>
    <s v="supervisar labores de siembra"/>
    <x v="2"/>
    <m/>
    <s v="No"/>
    <s v="Ingeniero agrícola/ingeniera agrícola"/>
    <n v="2144"/>
    <s v="Ingenieros mecánicos"/>
  </r>
  <r>
    <n v="2170124"/>
    <s v="Analista de Cultivo - Roque Pérez - BA"/>
    <s v="IMPLÍCITA"/>
    <s v="Ejecución de siembras y cosechas"/>
    <s v="coordinar cosecha"/>
    <x v="2"/>
    <m/>
    <s v="No"/>
    <s v="Ingeniero agrícola/ingeniera agrícola"/>
    <n v="2144"/>
    <s v="Ingenieros mecánicos"/>
  </r>
  <r>
    <n v="2170124"/>
    <s v="Analista de Cultivo - Roque Pérez - BA"/>
    <s v="IMPLÍCITA"/>
    <s v="Mediciones de suelos y niveles de agua"/>
    <s v="realizar análisis de suelos"/>
    <x v="2"/>
    <m/>
    <s v="No"/>
    <s v="Ingeniero agrícola/ingeniera agrícola"/>
    <n v="2144"/>
    <s v="Ingenieros mecánicos"/>
  </r>
  <r>
    <n v="2170124"/>
    <s v="Analista de Cultivo - Roque Pérez - BA"/>
    <s v="IMPLÍCITA"/>
    <s v="Mediciones de suelos y niveles de agua"/>
    <s v="monitorear riego"/>
    <x v="2"/>
    <m/>
    <s v="No"/>
    <s v="Ingeniero agrícola/ingeniera agrícola"/>
    <n v="2144"/>
    <s v="Ingenieros mecánicos"/>
  </r>
  <r>
    <n v="2170124"/>
    <s v="Analista de Cultivo - Roque Pérez - BA"/>
    <s v="IMPLÍCITA"/>
    <s v="Control de maquinarias"/>
    <s v="operar maquinaria agrícola"/>
    <x v="2"/>
    <m/>
    <s v="No"/>
    <s v="Ingeniero agrícola/ingeniera agrícola"/>
    <n v="2144"/>
    <s v="Ingenieros mecánicos"/>
  </r>
  <r>
    <n v="2170124"/>
    <s v="Analista de Cultivo - Roque Pérez - BA"/>
    <s v="IMPLÍCITA"/>
    <s v="Control de maquinarias"/>
    <s v="supervisar mantenimiento de equipos"/>
    <x v="2"/>
    <m/>
    <s v="No"/>
    <s v="Ingeniero agrícola/ingeniera agrícola"/>
    <n v="2144"/>
    <s v="Ingenieros mecánicos"/>
  </r>
  <r>
    <n v="2170124"/>
    <s v="Analista de Cultivo - Roque Pérez - BA"/>
    <s v="IMPLÍCITA"/>
    <s v="Gestión de sistemas GIS"/>
    <s v="utilizar sistemas de información geográfica"/>
    <x v="3"/>
    <m/>
    <s v="Sí"/>
    <s v="Ingeniero agrícola/ingeniera agrícola"/>
    <n v="2144"/>
    <s v="Ingenieros mecánicos"/>
  </r>
  <r>
    <n v="2170124"/>
    <s v="Analista de Cultivo - Roque Pérez - BA"/>
    <s v="IMPLÍCITA"/>
    <s v="Gestión de sistemas GIS"/>
    <s v="crear mapas de siembra y cosecha"/>
    <x v="3"/>
    <m/>
    <s v="Sí"/>
    <s v="Ingeniero agrícola/ingeniera agrícola"/>
    <n v="2144"/>
    <s v="Ingenieros mecánicos"/>
  </r>
  <r>
    <n v="2170124"/>
    <s v="Analista de Cultivo - Roque Pérez - BA"/>
    <s v="IMPLÍCITA"/>
    <s v="Gestión de sistemas GIS"/>
    <s v="analizar datos geoespaciales"/>
    <x v="3"/>
    <m/>
    <s v="Sí"/>
    <s v="Ingeniero agrícola/ingeniera agrícola"/>
    <n v="2144"/>
    <s v="Ingenieros mecánicos"/>
  </r>
  <r>
    <n v="2170124"/>
    <s v="Analista de Cultivo - Roque Pérez - BA"/>
    <s v="IMPLÍCITA"/>
    <s v="Generación de informes y reportes"/>
    <s v="elaborar informes técnicos"/>
    <x v="2"/>
    <m/>
    <s v="No"/>
    <s v="Ingeniero agrícola/ingeniera agrícola"/>
    <n v="2144"/>
    <s v="Ingenieros mecánicos"/>
  </r>
  <r>
    <n v="1116884561"/>
    <s v="Representante Comercial (Consumo Masivo / Grandes Cuentas)"/>
    <s v="DECLARADA"/>
    <s v="negociación"/>
    <s v="aplicar técnicas negociación"/>
    <x v="0"/>
    <s v="Negociación"/>
    <s v="No"/>
    <s v="Representante comercial"/>
    <n v="3322"/>
    <s v="Representantes comerciales"/>
  </r>
  <r>
    <n v="1116884561"/>
    <s v="Representante Comercial (Consumo Masivo / Grandes Cuentas)"/>
    <s v="DECLARADA"/>
    <s v="planificación, organización y coordinación"/>
    <s v="planificar y organizar"/>
    <x v="0"/>
    <s v="Organización"/>
    <s v="No"/>
    <s v="Representante comercial"/>
    <n v="3322"/>
    <s v="Representantes comerciales"/>
  </r>
  <r>
    <n v="1116884561"/>
    <s v="Representante Comercial (Consumo Masivo / Grandes Cuentas)"/>
    <s v="DECLARADA"/>
    <s v="capacidad analítica"/>
    <s v="aplicar pensamiento analítico"/>
    <x v="0"/>
    <s v="Pensamiento Analítico"/>
    <s v="No"/>
    <s v="Representante comercial"/>
    <n v="3322"/>
    <s v="Representantes comerciales"/>
  </r>
  <r>
    <n v="1116884561"/>
    <s v="Representante Comercial (Consumo Masivo / Grandes Cuentas)"/>
    <s v="DECLARADA"/>
    <s v="trabajo en equipo y buenas relaciones interpersonales"/>
    <s v="trabajar en equipo"/>
    <x v="0"/>
    <s v="Colaboración"/>
    <s v="No"/>
    <s v="Representante comercial"/>
    <n v="3322"/>
    <s v="Representantes comerciales"/>
  </r>
  <r>
    <n v="1116884561"/>
    <s v="Representante Comercial (Consumo Masivo / Grandes Cuentas)"/>
    <s v="DECLARADA"/>
    <s v="comunicación asertiva"/>
    <s v="comunicarse de forma asertiva"/>
    <x v="0"/>
    <s v="Comunicación"/>
    <s v="No"/>
    <s v="Representante comercial"/>
    <n v="3322"/>
    <s v="Representantes comerciales"/>
  </r>
  <r>
    <n v="1116884561"/>
    <s v="Representante Comercial (Consumo Masivo / Grandes Cuentas)"/>
    <s v="DECLARADA"/>
    <s v="adaptación"/>
    <s v="adaptarse al cambio"/>
    <x v="0"/>
    <s v="Adaptabilidad"/>
    <s v="No"/>
    <s v="Representante comercial"/>
    <n v="3322"/>
    <s v="Representantes comerciales"/>
  </r>
  <r>
    <n v="1116884561"/>
    <s v="Representante Comercial (Consumo Masivo / Grandes Cuentas)"/>
    <s v="IMPLÍCITA"/>
    <s v="Atención y gestión de reclamos"/>
    <s v="gestionar reclamos de clientes"/>
    <x v="4"/>
    <m/>
    <s v="No"/>
    <s v="Representante comercial"/>
    <n v="3322"/>
    <s v="Representantes comerciales"/>
  </r>
  <r>
    <n v="1116884561"/>
    <s v="Representante Comercial (Consumo Masivo / Grandes Cuentas)"/>
    <s v="IMPLÍCITA"/>
    <s v="Atención y gestión de reclamos"/>
    <s v="resolver incidencias comerciales"/>
    <x v="4"/>
    <m/>
    <s v="No"/>
    <s v="Representante comercial"/>
    <n v="3322"/>
    <s v="Representantes comerciales"/>
  </r>
  <r>
    <n v="1116884561"/>
    <s v="Representante Comercial (Consumo Masivo / Grandes Cuentas)"/>
    <s v="IMPLÍCITA"/>
    <s v="Promoción de productos"/>
    <s v="presentar productos a clientes"/>
    <x v="2"/>
    <m/>
    <s v="No"/>
    <s v="Representante comercial"/>
    <n v="3322"/>
    <s v="Representantes comerciales"/>
  </r>
  <r>
    <n v="1116884561"/>
    <s v="Representante Comercial (Consumo Masivo / Grandes Cuentas)"/>
    <s v="IMPLÍCITA"/>
    <s v="Promoción de productos"/>
    <s v="realizar demostraciones comerciales"/>
    <x v="2"/>
    <m/>
    <s v="No"/>
    <s v="Representante comercial"/>
    <n v="3322"/>
    <s v="Representantes comerciales"/>
  </r>
  <r>
    <n v="1116884561"/>
    <s v="Representante Comercial (Consumo Masivo / Grandes Cuentas)"/>
    <s v="IMPLÍCITA"/>
    <s v="Monitoreo del mercado"/>
    <s v="analizar tendencias de mercado"/>
    <x v="2"/>
    <m/>
    <s v="No"/>
    <s v="Representante comercial"/>
    <n v="3322"/>
    <s v="Representantes comerciales"/>
  </r>
  <r>
    <n v="1116884561"/>
    <s v="Representante Comercial (Consumo Masivo / Grandes Cuentas)"/>
    <s v="IMPLÍCITA"/>
    <s v="Monitoreo del mercado"/>
    <s v="reportar competencia"/>
    <x v="2"/>
    <m/>
    <s v="No"/>
    <s v="Representante comercial"/>
    <n v="3322"/>
    <s v="Representantes comerciales"/>
  </r>
  <r>
    <n v="1116884561"/>
    <s v="Representante Comercial (Consumo Masivo / Grandes Cuentas)"/>
    <s v="IMPLÍCITA"/>
    <s v="Cobranza y conciliación"/>
    <s v="gestionar cobranzas"/>
    <x v="2"/>
    <m/>
    <s v="No"/>
    <s v="Representante comercial"/>
    <n v="3322"/>
    <s v="Representantes comerciales"/>
  </r>
  <r>
    <n v="1116884561"/>
    <s v="Representante Comercial (Consumo Masivo / Grandes Cuentas)"/>
    <s v="IMPLÍCITA"/>
    <s v="Cobranza y conciliación"/>
    <s v="conciliar cuentas con finanzas"/>
    <x v="2"/>
    <m/>
    <s v="No"/>
    <s v="Representante comercial"/>
    <n v="3322"/>
    <s v="Representantes comerciales"/>
  </r>
  <r>
    <n v="1116898892"/>
    <s v="Chofer - Repartidor"/>
    <s v="DECLARADA"/>
    <s v="mantenimiento y cuidado de vehículos"/>
    <s v="realizar mantenimiento vehículos"/>
    <x v="2"/>
    <s v="Mantenimiento"/>
    <s v="No"/>
    <s v="Conductor de vehículo de reparto"/>
    <n v="8322"/>
    <s v="Conductores de automóviles, taxis y camionetas"/>
  </r>
  <r>
    <n v="1116898892"/>
    <s v="Chofer - Repartidor"/>
    <s v="DECLARADA"/>
    <s v="actitud responsable"/>
    <s v="asumir responsabilidad"/>
    <x v="0"/>
    <s v="Responsabilidad"/>
    <s v="No"/>
    <s v="Conductor de vehículo de reparto"/>
    <n v="8322"/>
    <s v="Conductores de automóviles, taxis y camionetas"/>
  </r>
  <r>
    <n v="1116898892"/>
    <s v="Chofer - Repartidor"/>
    <s v="DECLARADA"/>
    <s v="puntualidad"/>
    <s v="ser puntual"/>
    <x v="0"/>
    <s v="Organización"/>
    <s v="No"/>
    <s v="Conductor de vehículo de reparto"/>
    <n v="8322"/>
    <s v="Conductores de automóviles, taxis y camionetas"/>
  </r>
  <r>
    <n v="1116898892"/>
    <s v="Chofer - Repartidor"/>
    <s v="DECLARADA"/>
    <s v="capacidad para gestionar las entregas de manera eficiente y autónoma"/>
    <s v="trabajar de forma autónoma"/>
    <x v="0"/>
    <s v="Autonomía"/>
    <s v="No"/>
    <s v="Conductor de vehículo de reparto"/>
    <n v="8322"/>
    <s v="Conductores de automóviles, taxis y camionetas"/>
  </r>
  <r>
    <n v="1116898892"/>
    <s v="Chofer - Repartidor"/>
    <s v="IMPLÍCITA"/>
    <s v="Verificación de pedidos"/>
    <s v="verificar mercadería contra remito"/>
    <x v="2"/>
    <m/>
    <s v="No"/>
    <s v="Conductor de vehículo de reparto"/>
    <n v="8322"/>
    <s v="Conductores de automóviles, taxis y camionetas"/>
  </r>
  <r>
    <n v="1116898892"/>
    <s v="Chofer - Repartidor"/>
    <s v="IMPLÍCITA"/>
    <s v="Verificación de pedidos"/>
    <s v="controlar cantidad y calidad"/>
    <x v="2"/>
    <m/>
    <s v="No"/>
    <s v="Conductor de vehículo de reparto"/>
    <n v="8322"/>
    <s v="Conductores de automóviles, taxis y camionetas"/>
  </r>
  <r>
    <n v="1116898892"/>
    <s v="Chofer - Repartidor"/>
    <s v="IMPLÍCITA"/>
    <s v="Mantener vehículo en condiciones"/>
    <s v="controlar niveles de fluidos"/>
    <x v="2"/>
    <m/>
    <s v="No"/>
    <s v="Conductor de vehículo de reparto"/>
    <n v="8322"/>
    <s v="Conductores de automóviles, taxis y camionetas"/>
  </r>
  <r>
    <n v="1116898892"/>
    <s v="Chofer - Repartidor"/>
    <s v="IMPLÍCITA"/>
    <s v="Mantener vehículo en condiciones"/>
    <s v="reportar fallas mecánicas"/>
    <x v="2"/>
    <m/>
    <s v="No"/>
    <s v="Conductor de vehículo de reparto"/>
    <n v="8322"/>
    <s v="Conductores de automóviles, taxis y camionetas"/>
  </r>
  <r>
    <n v="1116898892"/>
    <s v="Chofer - Repartidor"/>
    <s v="IMPLÍCITA"/>
    <s v="Reportar inconvenientes"/>
    <s v="comunicar incidencias"/>
    <x v="0"/>
    <m/>
    <s v="No"/>
    <s v="Conductor de vehículo de reparto"/>
    <n v="8322"/>
    <s v="Conductores de automóviles, taxis y camionetas"/>
  </r>
  <r>
    <n v="1116898892"/>
    <s v="Chofer - Repartidor"/>
    <s v="IMPLÍCITA"/>
    <s v="Reportar inconvenientes"/>
    <s v="registrar novedades de entrega"/>
    <x v="2"/>
    <m/>
    <s v="No"/>
    <s v="Conductor de vehículo de reparto"/>
    <n v="8322"/>
    <s v="Conductores de automóviles, taxis y camionetas"/>
  </r>
  <r>
    <n v="1116898892"/>
    <s v="Chofer - Repartidor"/>
    <s v="IMPLÍCITA"/>
    <s v="Coordinar rutas con logística"/>
    <s v="planificar rutas de entrega"/>
    <x v="2"/>
    <m/>
    <s v="No"/>
    <s v="Conductor de vehículo de reparto"/>
    <n v="8322"/>
    <s v="Conductores de automóviles, taxis y camionetas"/>
  </r>
  <r>
    <n v="1116898892"/>
    <s v="Chofer - Repartidor"/>
    <s v="IMPLÍCITA"/>
    <s v="Coordinar rutas con logística"/>
    <s v="utilizar aplicaciones de navegación"/>
    <x v="3"/>
    <m/>
    <s v="Sí"/>
    <s v="Conductor de vehículo de reparto"/>
    <n v="8322"/>
    <s v="Conductores de automóviles, taxis y camionetas"/>
  </r>
  <r>
    <n v="1116898892"/>
    <s v="Chofer - Repartidor"/>
    <s v="IMPLÍCITA"/>
    <s v="Coordinar rutas con logística"/>
    <s v="optimizar tiempos de entrega"/>
    <x v="2"/>
    <m/>
    <s v="No"/>
    <s v="Conductor de vehículo de reparto"/>
    <n v="8322"/>
    <s v="Conductores de automóviles, taxis y camionetas"/>
  </r>
  <r>
    <n v="1117960588"/>
    <s v="Asistente de Dirección / Administrativo con experiencia en Publicidad y Medios"/>
    <s v="DECLARADA"/>
    <s v="Office"/>
    <s v="utilizar software ofimático"/>
    <x v="2"/>
    <s v="Software Ofimático"/>
    <s v="Sí"/>
    <s v="Empleado administrativo/empleada administrativa"/>
    <n v="3343"/>
    <s v="Secretarios administrativos y ejecutivos"/>
  </r>
  <r>
    <n v="1117960588"/>
    <s v="Asistente de Dirección / Administrativo con experiencia en Publicidad y Medios"/>
    <s v="DECLARADA"/>
    <s v="planillas"/>
    <s v="utilizar hojas de cálculo"/>
    <x v="2"/>
    <s v="Software Ofimático"/>
    <s v="Sí"/>
    <s v="Empleado administrativo/empleada administrativa"/>
    <n v="3343"/>
    <s v="Secretarios administrativos y ejecutivos"/>
  </r>
  <r>
    <n v="1117960588"/>
    <s v="Asistente de Dirección / Administrativo con experiencia en Publicidad y Medios"/>
    <s v="DECLARADA"/>
    <s v="excel avanzado"/>
    <s v="utilizar hojas de cálculo"/>
    <x v="2"/>
    <s v="Software Ofimático"/>
    <s v="Sí"/>
    <s v="Empleado administrativo/empleada administrativa"/>
    <n v="3343"/>
    <s v="Secretarios administrativos y ejecutivos"/>
  </r>
  <r>
    <n v="1117960588"/>
    <s v="Asistente de Dirección / Administrativo con experiencia en Publicidad y Medios"/>
    <s v="DECLARADA"/>
    <s v="habilidades de comunicación"/>
    <s v="comunicarse eficazmente"/>
    <x v="0"/>
    <s v="Comunicación"/>
    <s v="No"/>
    <s v="Empleado administrativo/empleada administrativa"/>
    <n v="3343"/>
    <s v="Secretarios administrativos y ejecutivos"/>
  </r>
  <r>
    <n v="1117960588"/>
    <s v="Asistente de Dirección / Administrativo con experiencia en Publicidad y Medios"/>
    <s v="DECLARADA"/>
    <s v="atención al cliente"/>
    <s v="prestar atención al cliente"/>
    <x v="4"/>
    <s v="Orientación Cliente"/>
    <s v="No"/>
    <s v="Empleado administrativo/empleada administrativa"/>
    <n v="3343"/>
    <s v="Secretarios administrativos y ejecutivos"/>
  </r>
  <r>
    <n v="1117960588"/>
    <s v="Asistente de Dirección / Administrativo con experiencia en Publicidad y Medios"/>
    <s v="IMPLÍCITA"/>
    <s v="Tareas administrativas generales"/>
    <s v="realizar tareas administrativas"/>
    <x v="2"/>
    <m/>
    <s v="No"/>
    <s v="Empleado administrativo/empleada administrativa"/>
    <n v="3343"/>
    <s v="Secretarios administrativos y ejecutivos"/>
  </r>
  <r>
    <n v="1117960588"/>
    <s v="Asistente de Dirección / Administrativo con experiencia en Publicidad y Medios"/>
    <s v="IMPLÍCITA"/>
    <s v="Tareas administrativas generales"/>
    <s v="gestionar agenda ejecutiva"/>
    <x v="2"/>
    <m/>
    <s v="No"/>
    <s v="Empleado administrativo/empleada administrativa"/>
    <n v="3343"/>
    <s v="Secretarios administrativos y ejecutivos"/>
  </r>
  <r>
    <n v="1117960588"/>
    <s v="Asistente de Dirección / Administrativo con experiencia en Publicidad y Medios"/>
    <s v="IMPLÍCITA"/>
    <s v="Atención telefónica y presencial"/>
    <s v="atender llamadas telefónicas"/>
    <x v="4"/>
    <m/>
    <s v="No"/>
    <s v="Empleado administrativo/empleada administrativa"/>
    <n v="3343"/>
    <s v="Secretarios administrativos y ejecutivos"/>
  </r>
  <r>
    <n v="1117960588"/>
    <s v="Asistente de Dirección / Administrativo con experiencia en Publicidad y Medios"/>
    <s v="IMPLÍCITA"/>
    <s v="Atención telefónica y presencial"/>
    <s v="recibir visitantes"/>
    <x v="4"/>
    <m/>
    <s v="No"/>
    <s v="Empleado administrativo/empleada administrativa"/>
    <n v="3343"/>
    <s v="Secretarios administrativos y ejecutivos"/>
  </r>
  <r>
    <n v="1117960588"/>
    <s v="Asistente de Dirección / Administrativo con experiencia en Publicidad y Medios"/>
    <s v="IMPLÍCITA"/>
    <s v="Coordinación de comunicaciones"/>
    <s v="gestionar correspondencia"/>
    <x v="2"/>
    <m/>
    <s v="No"/>
    <s v="Empleado administrativo/empleada administrativa"/>
    <n v="3343"/>
    <s v="Secretarios administrativos y ejecutivos"/>
  </r>
  <r>
    <n v="1117960588"/>
    <s v="Asistente de Dirección / Administrativo con experiencia en Publicidad y Medios"/>
    <s v="IMPLÍCITA"/>
    <s v="Coordinación de comunicaciones"/>
    <s v="redactar comunicaciones"/>
    <x v="2"/>
    <m/>
    <s v="No"/>
    <s v="Empleado administrativo/empleada administrativa"/>
    <n v="3343"/>
    <s v="Secretarios administrativos y ejecutivos"/>
  </r>
  <r>
    <n v="1117960588"/>
    <s v="Asistente de Dirección / Administrativo con experiencia en Publicidad y Medios"/>
    <s v="IMPLÍCITA"/>
    <s v="Apoyo en campañas publicitarias"/>
    <s v="coordinar con agencias de publicidad"/>
    <x v="2"/>
    <m/>
    <s v="No"/>
    <s v="Empleado administrativo/empleada administrativa"/>
    <n v="3343"/>
    <s v="Secretarios administrativos y ejecutivos"/>
  </r>
  <r>
    <n v="1117960588"/>
    <s v="Asistente de Dirección / Administrativo con experiencia en Publicidad y Medios"/>
    <s v="IMPLÍCITA"/>
    <s v="Apoyo en campañas publicitarias"/>
    <s v="gestionar materiales promocionales"/>
    <x v="2"/>
    <m/>
    <s v="No"/>
    <s v="Empleado administrativo/empleada administrativa"/>
    <n v="3343"/>
    <s v="Secretarios administrativos y ejecutivos"/>
  </r>
  <r>
    <n v="1117961954"/>
    <s v="Asistente Administrativo General"/>
    <s v="DECLARADA"/>
    <s v="Microsoft Office Suite"/>
    <s v="utilizar software ofimático"/>
    <x v="2"/>
    <s v="Software Ofimático"/>
    <s v="Sí"/>
    <s v="Empleado administrativo/empleada administrativa"/>
    <n v="3343"/>
    <s v="Secretarios administrativos y ejecutivos"/>
  </r>
  <r>
    <n v="1117961954"/>
    <s v="Asistente Administrativo General"/>
    <s v="DECLARADA"/>
    <s v="proactiva"/>
    <s v="mostrar iniciativa"/>
    <x v="0"/>
    <s v="Iniciativa"/>
    <s v="No"/>
    <s v="Empleado administrativo/empleada administrativa"/>
    <n v="3343"/>
    <s v="Secretarios administrativos y ejecutivos"/>
  </r>
  <r>
    <n v="1117961954"/>
    <s v="Asistente Administrativo General"/>
    <s v="DECLARADA"/>
    <s v="organizada"/>
    <s v="gestionar el tiempo"/>
    <x v="0"/>
    <s v="Organización"/>
    <s v="No"/>
    <s v="Empleado administrativo/empleada administrativa"/>
    <n v="3343"/>
    <s v="Secretarios administrativos y ejecutivos"/>
  </r>
  <r>
    <n v="1117961954"/>
    <s v="Asistente Administrativo General"/>
    <s v="IMPLÍCITA"/>
    <s v="Gestionar documentos y archivos"/>
    <s v="organizar archivos físicos y digitales"/>
    <x v="2"/>
    <m/>
    <s v="No"/>
    <s v="Empleado administrativo/empleada administrativa"/>
    <n v="3343"/>
    <s v="Secretarios administrativos y ejecutivos"/>
  </r>
  <r>
    <n v="1117961954"/>
    <s v="Asistente Administrativo General"/>
    <s v="IMPLÍCITA"/>
    <s v="Gestionar documentos y archivos"/>
    <s v="mantener orden documental"/>
    <x v="2"/>
    <m/>
    <s v="No"/>
    <s v="Empleado administrativo/empleada administrativa"/>
    <n v="3343"/>
    <s v="Secretarios administrativos y ejecutivos"/>
  </r>
  <r>
    <n v="1117961954"/>
    <s v="Asistente Administrativo General"/>
    <s v="IMPLÍCITA"/>
    <s v="Coordinar reuniones y eventos"/>
    <s v="gestionar agenda de reuniones"/>
    <x v="2"/>
    <m/>
    <s v="No"/>
    <s v="Empleado administrativo/empleada administrativa"/>
    <n v="3343"/>
    <s v="Secretarios administrativos y ejecutivos"/>
  </r>
  <r>
    <n v="1117961954"/>
    <s v="Asistente Administrativo General"/>
    <s v="IMPLÍCITA"/>
    <s v="Coordinar reuniones y eventos"/>
    <s v="coordinar logística de eventos"/>
    <x v="1"/>
    <m/>
    <s v="No"/>
    <s v="Empleado administrativo/empleada administrativa"/>
    <n v="3343"/>
    <s v="Secretarios administrativos y ejecutivos"/>
  </r>
  <r>
    <n v="1117961954"/>
    <s v="Asistente Administrativo General"/>
    <s v="IMPLÍCITA"/>
    <s v="Preparar informes y presentaciones"/>
    <s v="elaborar informes"/>
    <x v="2"/>
    <m/>
    <s v="No"/>
    <s v="Empleado administrativo/empleada administrativa"/>
    <n v="3343"/>
    <s v="Secretarios administrativos y ejecutivos"/>
  </r>
  <r>
    <n v="1117961954"/>
    <s v="Asistente Administrativo General"/>
    <s v="IMPLÍCITA"/>
    <s v="Preparar informes y presentaciones"/>
    <s v="utilizar software de presentaciones"/>
    <x v="3"/>
    <m/>
    <s v="Sí"/>
    <s v="Empleado administrativo/empleada administrativa"/>
    <n v="3343"/>
    <s v="Secretarios administrativos y ejecutivos"/>
  </r>
  <r>
    <n v="1117961954"/>
    <s v="Asistente Administrativo General"/>
    <s v="IMPLÍCITA"/>
    <s v="Tareas de contabilidad básica"/>
    <s v="registrar transacciones contables"/>
    <x v="2"/>
    <m/>
    <s v="No"/>
    <s v="Empleado administrativo/empleada administrativa"/>
    <n v="3343"/>
    <s v="Secretarios administrativos y ejecutivos"/>
  </r>
  <r>
    <n v="1117961954"/>
    <s v="Asistente Administrativo General"/>
    <s v="IMPLÍCITA"/>
    <s v="Tareas de contabilidad básica"/>
    <s v="conciliar cuentas básicas"/>
    <x v="2"/>
    <m/>
    <s v="No"/>
    <s v="Empleado administrativo/empleada administrativa"/>
    <n v="3343"/>
    <s v="Secretarios administrativos y ejecutivos"/>
  </r>
  <r>
    <n v="1117975249"/>
    <s v="Gerente General para Maderera"/>
    <s v="DECLARADA"/>
    <s v="visión estratégica"/>
    <s v="pensar de forma estratégica"/>
    <x v="0"/>
    <s v="Pensamiento Estratégico"/>
    <s v="No"/>
    <s v="Gerente de maderera"/>
    <n v="1219"/>
    <s v="Directores de administración y servicios"/>
  </r>
  <r>
    <n v="1117975249"/>
    <s v="Gerente General para Maderera"/>
    <s v="DECLARADA"/>
    <s v="capacidad de organización"/>
    <s v="gestionar el tiempo"/>
    <x v="0"/>
    <s v="Organización"/>
    <s v="No"/>
    <s v="Gerente de maderera"/>
    <n v="1219"/>
    <s v="Directores de administración y servicios"/>
  </r>
  <r>
    <n v="1117975249"/>
    <s v="Gerente General para Maderera"/>
    <s v="IMPLÍCITA"/>
    <s v="Supervisar funcionamiento de sucursales"/>
    <s v="supervisar operaciones multi-sitio"/>
    <x v="1"/>
    <m/>
    <s v="No"/>
    <s v="Gerente de maderera"/>
    <n v="1219"/>
    <s v="Directores de administración y servicios"/>
  </r>
  <r>
    <n v="1117975249"/>
    <s v="Gerente General para Maderera"/>
    <s v="IMPLÍCITA"/>
    <s v="Supervisar funcionamiento de sucursales"/>
    <s v="controlar indicadores por sucursal"/>
    <x v="1"/>
    <m/>
    <s v="No"/>
    <s v="Gerente de maderera"/>
    <n v="1219"/>
    <s v="Directores de administración y servicios"/>
  </r>
  <r>
    <n v="1117975249"/>
    <s v="Gerente General para Maderera"/>
    <s v="IMPLÍCITA"/>
    <s v="Coordinar logística, depósitos y operaciones"/>
    <s v="gestionar cadena de suministro"/>
    <x v="1"/>
    <m/>
    <s v="No"/>
    <s v="Gerente de maderera"/>
    <n v="1219"/>
    <s v="Directores de administración y servicios"/>
  </r>
  <r>
    <n v="1117975249"/>
    <s v="Gerente General para Maderera"/>
    <s v="IMPLÍCITA"/>
    <s v="Coordinar logística, depósitos y operaciones"/>
    <s v="coordinar operaciones logísticas"/>
    <x v="1"/>
    <m/>
    <s v="No"/>
    <s v="Gerente de maderera"/>
    <n v="1219"/>
    <s v="Directores de administración y servicios"/>
  </r>
  <r>
    <n v="1117975249"/>
    <s v="Gerente General para Maderera"/>
    <s v="IMPLÍCITA"/>
    <s v="Impulsar cumplimiento de objetivos"/>
    <s v="definir objetivos comerciales"/>
    <x v="1"/>
    <m/>
    <s v="No"/>
    <s v="Gerente de maderera"/>
    <n v="1219"/>
    <s v="Directores de administración y servicios"/>
  </r>
  <r>
    <n v="1117975249"/>
    <s v="Gerente General para Maderera"/>
    <s v="IMPLÍCITA"/>
    <s v="Impulsar cumplimiento de objetivos"/>
    <s v="motivar equipos de trabajo"/>
    <x v="0"/>
    <m/>
    <s v="No"/>
    <s v="Gerente de maderera"/>
    <n v="1219"/>
    <s v="Directores de administración y servicios"/>
  </r>
  <r>
    <n v="1117975249"/>
    <s v="Gerente General para Maderera"/>
    <s v="IMPLÍCITA"/>
    <s v="Resolver incidencias operativas"/>
    <s v="resolver problemas operativos"/>
    <x v="1"/>
    <m/>
    <s v="No"/>
    <s v="Gerente de maderera"/>
    <n v="1219"/>
    <s v="Directores de administración y servicios"/>
  </r>
  <r>
    <n v="1117975249"/>
    <s v="Gerente General para Maderera"/>
    <s v="IMPLÍCITA"/>
    <s v="Resolver incidencias operativas"/>
    <s v="tomar decisiones bajo presión"/>
    <x v="0"/>
    <m/>
    <s v="No"/>
    <s v="Gerente de maderera"/>
    <n v="1219"/>
    <s v="Directores de administración y servicios"/>
  </r>
  <r>
    <n v="1117975249"/>
    <s v="Gerente General para Maderera"/>
    <s v="IMPLÍCITA"/>
    <s v="Implementar mejora continua"/>
    <s v="aplicar metodologías de mejora continua"/>
    <x v="1"/>
    <m/>
    <s v="No"/>
    <s v="Gerente de maderera"/>
    <n v="1219"/>
    <s v="Directores de administración y servicios"/>
  </r>
  <r>
    <n v="1117975249"/>
    <s v="Gerente General para Maderera"/>
    <s v="IMPLÍCITA"/>
    <s v="Implementar mejora continua"/>
    <s v="optimizar procesos operativos"/>
    <x v="1"/>
    <m/>
    <s v="No"/>
    <s v="Gerente de maderera"/>
    <n v="1219"/>
    <s v="Directores de administración y servicios"/>
  </r>
  <r>
    <n v="1117975249"/>
    <s v="Gerente General para Maderera"/>
    <s v="IMPLÍCITA"/>
    <s v="Analizar indicadores de gestión y reportes"/>
    <s v="utilizar software de análisis (Excel/BI)"/>
    <x v="3"/>
    <m/>
    <s v="Sí"/>
    <s v="Gerente de maderera"/>
    <n v="1219"/>
    <s v="Directores de administración y servicios"/>
  </r>
  <r>
    <n v="1117975249"/>
    <s v="Gerente General para Maderera"/>
    <s v="IMPLÍCITA"/>
    <s v="Analizar indicadores de gestión y reportes"/>
    <s v="analizar datos de rendimiento (KPIs)"/>
    <x v="1"/>
    <m/>
    <s v="No"/>
    <s v="Gerente de maderera"/>
    <n v="1219"/>
    <s v="Directores de administración y servicios"/>
  </r>
  <r>
    <n v="1117975249"/>
    <s v="Gerente General para Maderera"/>
    <s v="IMPLÍCITA"/>
    <s v="Analizar indicadores de gestión y reportes"/>
    <s v="elaborar informes ejecutivos"/>
    <x v="2"/>
    <m/>
    <s v="No"/>
    <s v="Gerente de maderera"/>
    <n v="1219"/>
    <s v="Directores de administración y servicios"/>
  </r>
  <r>
    <n v="1117975249"/>
    <s v="Gerente General para Maderera"/>
    <s v="IMPLÍCITA"/>
    <s v="Velar por rentabilidad y calidad"/>
    <s v="gestionar presupuestos"/>
    <x v="1"/>
    <m/>
    <s v="No"/>
    <s v="Gerente de maderera"/>
    <n v="1219"/>
    <s v="Directores de administración y servicios"/>
  </r>
  <r>
    <n v="1117975249"/>
    <s v="Gerente General para Maderera"/>
    <s v="IMPLÍCITA"/>
    <s v="Velar por rentabilidad y calidad"/>
    <s v="controlar costos operativos"/>
    <x v="1"/>
    <m/>
    <s v="No"/>
    <s v="Gerente de maderera"/>
    <n v="1219"/>
    <s v="Directores de administración y servicios"/>
  </r>
  <r>
    <n v="1117975249"/>
    <s v="Gerente General para Maderera"/>
    <s v="IMPLÍCITA"/>
    <s v="Representar empresa ante proveedores"/>
    <s v="negociar contratos comerciales"/>
    <x v="2"/>
    <m/>
    <s v="No"/>
    <s v="Gerente de maderera"/>
    <n v="1219"/>
    <s v="Directores de administración y servicios"/>
  </r>
  <r>
    <n v="1117975249"/>
    <s v="Gerente General para Maderera"/>
    <s v="IMPLÍCITA"/>
    <s v="Representar empresa ante proveedores"/>
    <s v="gestionar relaciones con stakeholders"/>
    <x v="1"/>
    <m/>
    <s v="No"/>
    <s v="Gerente de maderera"/>
    <n v="1219"/>
    <s v="Directores de administración y servicios"/>
  </r>
  <r>
    <n v="1117977340"/>
    <s v="RECEPCIONISTA ADMINISTRATIVO"/>
    <s v="DECLARADA"/>
    <s v="Tango"/>
    <s v="utilizar sistemas ERP"/>
    <x v="2"/>
    <s v="ERP/Gestión"/>
    <s v="Sí"/>
    <s v="Empleado administrativo de compañía de seguros"/>
    <n v="4312"/>
    <s v="Empleados de servicios estadísticos, financieros y de seguros"/>
  </r>
  <r>
    <n v="1117977340"/>
    <s v="RECEPCIONISTA ADMINISTRATIVO"/>
    <s v="DECLARADA"/>
    <s v="proactivo"/>
    <s v="mostrar iniciativa"/>
    <x v="0"/>
    <s v="Iniciativa"/>
    <s v="No"/>
    <s v="Empleado administrativo de compañía de seguros"/>
    <n v="4312"/>
    <s v="Empleados de servicios estadísticos, financieros y de seguros"/>
  </r>
  <r>
    <n v="1117977340"/>
    <s v="RECEPCIONISTA ADMINISTRATIVO"/>
    <s v="IMPLÍCITA"/>
    <s v="Realizar cobranzas del estudio"/>
    <s v="gestionar cobranzas"/>
    <x v="2"/>
    <m/>
    <s v="No"/>
    <s v="Empleado administrativo de compañía de seguros"/>
    <n v="4312"/>
    <s v="Empleados de servicios estadísticos, financieros y de seguros"/>
  </r>
  <r>
    <n v="1117977340"/>
    <s v="RECEPCIONISTA ADMINISTRATIVO"/>
    <s v="IMPLÍCITA"/>
    <s v="Realizar cobranzas del estudio"/>
    <s v="analizar ingresos"/>
    <x v="2"/>
    <m/>
    <s v="No"/>
    <s v="Empleado administrativo de compañía de seguros"/>
    <n v="4312"/>
    <s v="Empleados de servicios estadísticos, financieros y de seguros"/>
  </r>
  <r>
    <n v="1117977340"/>
    <s v="RECEPCIONISTA ADMINISTRATIVO"/>
    <s v="IMPLÍCITA"/>
    <s v="Realizar cobranzas del estudio"/>
    <s v="dar seguimiento de pagos"/>
    <x v="2"/>
    <m/>
    <s v="No"/>
    <s v="Empleado administrativo de compañía de seguros"/>
    <n v="4312"/>
    <s v="Empleados de servicios estadísticos, financieros y de seguros"/>
  </r>
  <r>
    <n v="1117977340"/>
    <s v="RECEPCIONISTA ADMINISTRATIVO"/>
    <s v="IMPLÍCITA"/>
    <s v="Alta de proveedores y facturas en Tango"/>
    <s v="registrar proveedores"/>
    <x v="2"/>
    <m/>
    <s v="No"/>
    <s v="Empleado administrativo de compañía de seguros"/>
    <n v="4312"/>
    <s v="Empleados de servicios estadísticos, financieros y de seguros"/>
  </r>
  <r>
    <n v="1117977340"/>
    <s v="RECEPCIONISTA ADMINISTRATIVO"/>
    <s v="IMPLÍCITA"/>
    <s v="Alta de proveedores y facturas en Tango"/>
    <s v="procesar facturas de compra"/>
    <x v="2"/>
    <m/>
    <s v="No"/>
    <s v="Empleado administrativo de compañía de seguros"/>
    <n v="4312"/>
    <s v="Empleados de servicios estadísticos, financieros y de seguros"/>
  </r>
  <r>
    <n v="1117977340"/>
    <s v="RECEPCIONISTA ADMINISTRATIVO"/>
    <s v="IMPLÍCITA"/>
    <s v="Pagos a proveedores, servicios e impuestos"/>
    <s v="gestionar pagos"/>
    <x v="2"/>
    <m/>
    <s v="No"/>
    <s v="Empleado administrativo de compañía de seguros"/>
    <n v="4312"/>
    <s v="Empleados de servicios estadísticos, financieros y de seguros"/>
  </r>
  <r>
    <n v="1117977340"/>
    <s v="RECEPCIONISTA ADMINISTRATIVO"/>
    <s v="IMPLÍCITA"/>
    <s v="Pagos a proveedores, servicios e impuestos"/>
    <s v="controlar vencimientos impositivos"/>
    <x v="2"/>
    <m/>
    <s v="No"/>
    <s v="Empleado administrativo de compañía de seguros"/>
    <n v="4312"/>
    <s v="Empleados de servicios estadísticos, financieros y de seguros"/>
  </r>
  <r>
    <n v="1117977340"/>
    <s v="RECEPCIONISTA ADMINISTRATIVO"/>
    <s v="IMPLÍCITA"/>
    <s v="Certificaciones en CPCE CABA"/>
    <s v="tramitar certificaciones profesionales"/>
    <x v="2"/>
    <m/>
    <s v="No"/>
    <s v="Empleado administrativo de compañía de seguros"/>
    <n v="4312"/>
    <s v="Empleados de servicios estadísticos, financieros y de seguros"/>
  </r>
  <r>
    <n v="1117977340"/>
    <s v="RECEPCIONISTA ADMINISTRATIVO"/>
    <s v="IMPLÍCITA"/>
    <s v="Certificaciones en CPCE CABA"/>
    <s v="utilizar plataformas de colegios profesionales"/>
    <x v="3"/>
    <m/>
    <s v="Sí"/>
    <s v="Empleado administrativo de compañía de seguros"/>
    <n v="4312"/>
    <s v="Empleados de servicios estadísticos, financieros y de seguros"/>
  </r>
  <r>
    <n v="1117977340"/>
    <s v="RECEPCIONISTA ADMINISTRATIVO"/>
    <s v="IMPLÍCITA"/>
    <s v="Recepción de personas y correspondencia"/>
    <s v="atender visitantes"/>
    <x v="4"/>
    <m/>
    <s v="No"/>
    <s v="Empleado administrativo de compañía de seguros"/>
    <n v="4312"/>
    <s v="Empleados de servicios estadísticos, financieros y de seguros"/>
  </r>
  <r>
    <n v="1117977340"/>
    <s v="RECEPCIONISTA ADMINISTRATIVO"/>
    <s v="IMPLÍCITA"/>
    <s v="Recepción de personas y correspondencia"/>
    <s v="gestionar correspondencia"/>
    <x v="2"/>
    <m/>
    <s v="No"/>
    <s v="Empleado administrativo de compañía de seguros"/>
    <n v="4312"/>
    <s v="Empleados de servicios estadísticos, financieros y de seguros"/>
  </r>
  <r>
    <n v="1117977340"/>
    <s v="RECEPCIONISTA ADMINISTRATIVO"/>
    <s v="IMPLÍCITA"/>
    <s v="Compras de oficina"/>
    <s v="gestionar compras de suministros"/>
    <x v="2"/>
    <m/>
    <s v="No"/>
    <s v="Empleado administrativo de compañía de seguros"/>
    <n v="4312"/>
    <s v="Empleados de servicios estadísticos, financieros y de seguros"/>
  </r>
  <r>
    <n v="1117977340"/>
    <s v="RECEPCIONISTA ADMINISTRATIVO"/>
    <s v="IMPLÍCITA"/>
    <s v="Compras de oficina"/>
    <s v="controlar stock de insumos"/>
    <x v="2"/>
    <m/>
    <s v="No"/>
    <s v="Empleado administrativo de compañía de seguros"/>
    <n v="4312"/>
    <s v="Empleados de servicios estadísticos, financieros y de seguros"/>
  </r>
  <r>
    <n v="1117977340"/>
    <s v="RECEPCIONISTA ADMINISTRATIVO"/>
    <s v="IMPLÍCITA"/>
    <s v="Soporte en administración de personal"/>
    <s v="gestionar altas de personal"/>
    <x v="2"/>
    <m/>
    <s v="No"/>
    <s v="Empleado administrativo de compañía de seguros"/>
    <n v="4312"/>
    <s v="Empleados de servicios estadísticos, financieros y de seguros"/>
  </r>
  <r>
    <n v="1117977340"/>
    <s v="RECEPCIONISTA ADMINISTRATIVO"/>
    <s v="IMPLÍCITA"/>
    <s v="Soporte en administración de personal"/>
    <s v="coordinar con obra social y ART"/>
    <x v="2"/>
    <m/>
    <s v="No"/>
    <s v="Empleado administrativo de compañía de seguros"/>
    <n v="4312"/>
    <s v="Empleados de servicios estadísticos, financieros y de seguros"/>
  </r>
  <r>
    <n v="1117977340"/>
    <s v="RECEPCIONISTA ADMINISTRATIVO"/>
    <s v="IMPLÍCITA"/>
    <s v="Postear en RRSS y newsletter"/>
    <s v="gestionar redes sociales"/>
    <x v="3"/>
    <m/>
    <s v="Sí"/>
    <s v="Empleado administrativo de compañía de seguros"/>
    <n v="4312"/>
    <s v="Empleados de servicios estadísticos, financieros y de seguros"/>
  </r>
  <r>
    <n v="1117977340"/>
    <s v="RECEPCIONISTA ADMINISTRATIVO"/>
    <s v="IMPLÍCITA"/>
    <s v="Postear en RRSS y newsletter"/>
    <s v="crear contenido para comunicación interna"/>
    <x v="2"/>
    <m/>
    <s v="No"/>
    <s v="Empleado administrativo de compañía de seguros"/>
    <n v="4312"/>
    <s v="Empleados de servicios estadísticos, financieros y de seguros"/>
  </r>
  <r>
    <n v="1117977340"/>
    <s v="RECEPCIONISTA ADMINISTRATIVO"/>
    <s v="IMPLÍCITA"/>
    <s v="Organización de eventos internos"/>
    <s v="organizar eventos corporativos"/>
    <x v="1"/>
    <m/>
    <s v="No"/>
    <s v="Empleado administrativo de compañía de seguros"/>
    <n v="4312"/>
    <s v="Empleados de servicios estadísticos, financieros y de seguros"/>
  </r>
  <r>
    <n v="1117977340"/>
    <s v="RECEPCIONISTA ADMINISTRATIVO"/>
    <s v="IMPLÍCITA"/>
    <s v="Organización de eventos internos"/>
    <s v="coordinar logística de reuniones"/>
    <x v="2"/>
    <m/>
    <s v="No"/>
    <s v="Empleado administrativo de compañía de seguros"/>
    <n v="4312"/>
    <s v="Empleados de servicios estadísticos, financieros y de seguros"/>
  </r>
  <r>
    <n v="1117980907"/>
    <s v="Operario de Almacén/Logística"/>
    <s v="IMPLÍCITA"/>
    <s v="Recepción y verificación de mercadería"/>
    <s v="recibir mercadería"/>
    <x v="2"/>
    <m/>
    <s v="No"/>
    <s v="Operario de logística de almacén"/>
    <n v="9333"/>
    <s v="Peones de carga"/>
  </r>
  <r>
    <n v="1117980907"/>
    <s v="Operario de Almacén/Logística"/>
    <s v="IMPLÍCITA"/>
    <s v="Recepción y verificación de mercadería"/>
    <s v="verificar documentación de entrada"/>
    <x v="2"/>
    <m/>
    <s v="No"/>
    <s v="Operario de logística de almacén"/>
    <n v="9333"/>
    <s v="Peones de carga"/>
  </r>
  <r>
    <n v="1117980907"/>
    <s v="Operario de Almacén/Logística"/>
    <s v="IMPLÍCITA"/>
    <s v="Recepción y verificación de mercadería"/>
    <s v="controlar estado de productos"/>
    <x v="2"/>
    <m/>
    <s v="No"/>
    <s v="Operario de logística de almacén"/>
    <n v="9333"/>
    <s v="Peones de carga"/>
  </r>
  <r>
    <n v="1117980907"/>
    <s v="Operario de Almacén/Logística"/>
    <s v="IMPLÍCITA"/>
    <s v="Almacenamiento y organización"/>
    <s v="organizar productos en almacén"/>
    <x v="2"/>
    <m/>
    <s v="No"/>
    <s v="Operario de logística de almacén"/>
    <n v="9333"/>
    <s v="Peones de carga"/>
  </r>
  <r>
    <n v="1117980907"/>
    <s v="Operario de Almacén/Logística"/>
    <s v="IMPLÍCITA"/>
    <s v="Almacenamiento y organización"/>
    <s v="aplicar sistema de ubicaciones"/>
    <x v="2"/>
    <m/>
    <s v="No"/>
    <s v="Operario de logística de almacén"/>
    <n v="9333"/>
    <s v="Peones de carga"/>
  </r>
  <r>
    <n v="1117980907"/>
    <s v="Operario de Almacén/Logística"/>
    <s v="IMPLÍCITA"/>
    <s v="Preparación de pedidos y despacho"/>
    <s v="preparar pedidos"/>
    <x v="2"/>
    <m/>
    <s v="No"/>
    <s v="Operario de logística de almacén"/>
    <n v="9333"/>
    <s v="Peones de carga"/>
  </r>
  <r>
    <n v="1117980907"/>
    <s v="Operario de Almacén/Logística"/>
    <s v="IMPLÍCITA"/>
    <s v="Preparación de pedidos y despacho"/>
    <s v="coordinar despacho de mercadería"/>
    <x v="2"/>
    <m/>
    <s v="No"/>
    <s v="Operario de logística de almacén"/>
    <n v="9333"/>
    <s v="Peones de carga"/>
  </r>
  <r>
    <n v="1117980907"/>
    <s v="Operario de Almacén/Logística"/>
    <s v="IMPLÍCITA"/>
    <s v="Control de inventario"/>
    <s v="gestionar inventario"/>
    <x v="2"/>
    <m/>
    <s v="No"/>
    <s v="Operario de logística de almacén"/>
    <n v="9333"/>
    <s v="Peones de carga"/>
  </r>
  <r>
    <n v="1117980907"/>
    <s v="Operario de Almacén/Logística"/>
    <s v="IMPLÍCITA"/>
    <s v="Control de inventario"/>
    <s v="registrar en sistema"/>
    <x v="3"/>
    <m/>
    <s v="Sí"/>
    <s v="Operario de logística de almacén"/>
    <n v="9333"/>
    <s v="Peones de carga"/>
  </r>
  <r>
    <n v="1117980907"/>
    <s v="Operario de Almacén/Logística"/>
    <s v="IMPLÍCITA"/>
    <s v="Control de inventario"/>
    <s v="realizar conteos cíclicos"/>
    <x v="2"/>
    <m/>
    <s v="No"/>
    <s v="Operario de logística de almacén"/>
    <n v="9333"/>
    <s v="Peones de carga"/>
  </r>
  <r>
    <n v="1117982053"/>
    <s v="Desarrollador Angular Senior"/>
    <s v="DECLARADA"/>
    <s v="Angular"/>
    <s v="utilizar lenguajes programación"/>
    <x v="2"/>
    <s v="Programación"/>
    <s v="Sí"/>
    <s v="Desarrollador web/desarrolladora web"/>
    <n v="2513"/>
    <s v="Desarrolladores web y multimedios"/>
  </r>
  <r>
    <n v="1117982053"/>
    <s v="Desarrollador Angular Senior"/>
    <s v="DECLARADA"/>
    <s v="Webpack"/>
    <s v="utilizar herramientas desarrollo"/>
    <x v="2"/>
    <s v="Programación"/>
    <s v="Sí"/>
    <s v="Desarrollador web/desarrolladora web"/>
    <n v="2513"/>
    <s v="Desarrolladores web y multimedios"/>
  </r>
  <r>
    <n v="1117982053"/>
    <s v="Desarrollador Angular Senior"/>
    <s v="IMPLÍCITA"/>
    <s v="Desarrollar funcionalidades del CX Portal"/>
    <s v="desarrollar aplicaciones web"/>
    <x v="3"/>
    <m/>
    <s v="Sí"/>
    <s v="Desarrollador web/desarrolladora web"/>
    <n v="2513"/>
    <s v="Desarrolladores web y multimedios"/>
  </r>
  <r>
    <n v="1117982053"/>
    <s v="Desarrollador Angular Senior"/>
    <s v="IMPLÍCITA"/>
    <s v="Desarrollar funcionalidades del CX Portal"/>
    <s v="escribir código limpio y mantenible"/>
    <x v="3"/>
    <m/>
    <s v="Sí"/>
    <s v="Desarrollador web/desarrolladora web"/>
    <n v="2513"/>
    <s v="Desarrolladores web y multimedios"/>
  </r>
  <r>
    <n v="1117982053"/>
    <s v="Desarrollador Angular Senior"/>
    <s v="IMPLÍCITA"/>
    <s v="Integrar Module Federation y Lazy Loading"/>
    <s v="implementar micro-frontends"/>
    <x v="3"/>
    <m/>
    <s v="Sí"/>
    <s v="Desarrollador web/desarrolladora web"/>
    <n v="2513"/>
    <s v="Desarrolladores web y multimedios"/>
  </r>
  <r>
    <n v="1117982053"/>
    <s v="Desarrollador Angular Senior"/>
    <s v="IMPLÍCITA"/>
    <s v="Integrar Module Federation y Lazy Loading"/>
    <s v="optimizar carga de aplicaciones"/>
    <x v="3"/>
    <m/>
    <s v="Sí"/>
    <s v="Desarrollador web/desarrolladora web"/>
    <n v="2513"/>
    <s v="Desarrolladores web y multimedios"/>
  </r>
  <r>
    <n v="1117982053"/>
    <s v="Desarrollador Angular Senior"/>
    <s v="IMPLÍCITA"/>
    <s v="Optimización de Webpack"/>
    <s v="optimizar rendimiento frontend"/>
    <x v="3"/>
    <m/>
    <s v="Sí"/>
    <s v="Desarrollador web/desarrolladora web"/>
    <n v="2513"/>
    <s v="Desarrolladores web y multimedios"/>
  </r>
  <r>
    <n v="1117982053"/>
    <s v="Desarrollador Angular Senior"/>
    <s v="IMPLÍCITA"/>
    <s v="Despliegue y monitoreo en AWS"/>
    <s v="configurar CI/CD"/>
    <x v="3"/>
    <m/>
    <s v="Sí"/>
    <s v="Desarrollador web/desarrolladora web"/>
    <n v="2513"/>
    <s v="Desarrolladores web y multimedios"/>
  </r>
  <r>
    <n v="1117982053"/>
    <s v="Desarrollador Angular Senior"/>
    <s v="IMPLÍCITA"/>
    <s v="Despliegue y monitoreo en AWS"/>
    <s v="monitorear aplicaciones en producción"/>
    <x v="3"/>
    <m/>
    <s v="Sí"/>
    <s v="Desarrollador web/desarrolladora web"/>
    <n v="2513"/>
    <s v="Desarrolladores web y multimedios"/>
  </r>
  <r>
    <n v="1117984105"/>
    <s v="Venado Tuerto"/>
    <s v="DECLARADA"/>
    <s v="disposición para liderar en equipo"/>
    <s v="liderar equipos"/>
    <x v="0"/>
    <s v="Liderazgo"/>
    <s v="No"/>
    <s v="Representante técnico de ventas de maquinaria agrícola"/>
    <n v="2433"/>
    <s v="Profesionales de ventas técnicas y médicas"/>
  </r>
  <r>
    <n v="1117984105"/>
    <s v="Venado Tuerto"/>
    <s v="DECLARADA"/>
    <s v="proactivo y responsable"/>
    <s v="mostrar iniciativa"/>
    <x v="0"/>
    <s v="Iniciativa"/>
    <s v="No"/>
    <s v="Representante técnico de ventas de maquinaria agrícola"/>
    <n v="2433"/>
    <s v="Profesionales de ventas técnicas y médicas"/>
  </r>
  <r>
    <n v="1117990944"/>
    <s v="Repositor/a Externo/a (Eventual) Moreno"/>
    <s v="IMPLÍCITA"/>
    <s v="Limpieza de góndola y control de vencimientos"/>
    <s v="mantener góndolas ordenadas"/>
    <x v="2"/>
    <m/>
    <s v="No"/>
    <s v="Reponedor/reponedora"/>
    <n v="9334"/>
    <s v="Reponedores de estanterías"/>
  </r>
  <r>
    <n v="1117990944"/>
    <s v="Repositor/a Externo/a (Eventual) Moreno"/>
    <s v="IMPLÍCITA"/>
    <s v="Limpieza de góndola y control de vencimientos"/>
    <s v="controlar fechas de vencimiento"/>
    <x v="2"/>
    <m/>
    <s v="No"/>
    <s v="Reponedor/reponedora"/>
    <n v="9334"/>
    <s v="Reponedores de estanterías"/>
  </r>
  <r>
    <n v="1117990944"/>
    <s v="Repositor/a Externo/a (Eventual) Moreno"/>
    <s v="IMPLÍCITA"/>
    <s v="Limpieza de góndola y control de vencimientos"/>
    <s v="retirar productos vencidos"/>
    <x v="2"/>
    <m/>
    <s v="No"/>
    <s v="Reponedor/reponedora"/>
    <n v="9334"/>
    <s v="Reponedores de estanterías"/>
  </r>
  <r>
    <n v="1117990944"/>
    <s v="Repositor/a Externo/a (Eventual) Moreno"/>
    <s v="IMPLÍCITA"/>
    <s v="Reposición de productos asignados"/>
    <s v="reponer mercadería"/>
    <x v="2"/>
    <m/>
    <s v="No"/>
    <s v="Reponedor/reponedora"/>
    <n v="9334"/>
    <s v="Reponedores de estanterías"/>
  </r>
  <r>
    <n v="1117990944"/>
    <s v="Repositor/a Externo/a (Eventual) Moreno"/>
    <s v="IMPLÍCITA"/>
    <s v="Reposición de productos asignados"/>
    <s v="rotar stock por fecha"/>
    <x v="2"/>
    <m/>
    <s v="No"/>
    <s v="Reponedor/reponedora"/>
    <n v="9334"/>
    <s v="Reponedores de estanterías"/>
  </r>
  <r>
    <n v="1117990944"/>
    <s v="Repositor/a Externo/a (Eventual) Moreno"/>
    <s v="IMPLÍCITA"/>
    <s v="Armado de exhibiciones según Planogramas"/>
    <s v="interpretar instrucciones visuales"/>
    <x v="2"/>
    <m/>
    <s v="No"/>
    <s v="Reponedor/reponedora"/>
    <n v="9334"/>
    <s v="Reponedores de estanterías"/>
  </r>
  <r>
    <n v="1117990944"/>
    <s v="Repositor/a Externo/a (Eventual) Moreno"/>
    <s v="IMPLÍCITA"/>
    <s v="Armado de exhibiciones según Planogramas"/>
    <s v="armar exhibiciones comerciales"/>
    <x v="2"/>
    <m/>
    <s v="No"/>
    <s v="Reponedor/reponedora"/>
    <n v="9334"/>
    <s v="Reponedores de estanterías"/>
  </r>
  <r>
    <n v="1117990944"/>
    <s v="Repositor/a Externo/a (Eventual) Moreno"/>
    <s v="IMPLÍCITA"/>
    <s v="Colocación de material POP"/>
    <s v="gestionar material promocional"/>
    <x v="5"/>
    <m/>
    <s v="No"/>
    <s v="Reponedor/reponedora"/>
    <n v="9334"/>
    <s v="Reponedores de estanterías"/>
  </r>
  <r>
    <n v="1117990944"/>
    <s v="Repositor/a Externo/a (Eventual) Moreno"/>
    <s v="IMPLÍCITA"/>
    <s v="Colocación de material POP"/>
    <s v="instalar cartelería"/>
    <x v="2"/>
    <m/>
    <s v="No"/>
    <s v="Reponedor/reponedora"/>
    <n v="9334"/>
    <s v="Reponedores de estanterías"/>
  </r>
  <r>
    <n v="1117990944"/>
    <s v="Repositor/a Externo/a (Eventual) Moreno"/>
    <s v="IMPLÍCITA"/>
    <s v="Control de ofertas y precios"/>
    <s v="verificar precios en góndola"/>
    <x v="2"/>
    <m/>
    <s v="No"/>
    <s v="Reponedor/reponedora"/>
    <n v="9334"/>
    <s v="Reponedores de estanterías"/>
  </r>
  <r>
    <n v="1117990944"/>
    <s v="Repositor/a Externo/a (Eventual) Moreno"/>
    <s v="IMPLÍCITA"/>
    <s v="Control de ofertas y precios"/>
    <s v="actualizar cartelería de precios"/>
    <x v="2"/>
    <m/>
    <s v="No"/>
    <s v="Reponedor/reponedora"/>
    <n v="9334"/>
    <s v="Reponedores de estanterías"/>
  </r>
  <r>
    <n v="1117990944"/>
    <s v="Repositor/a Externo/a (Eventual) Moreno"/>
    <s v="IMPLÍCITA"/>
    <s v="Control de quiebres y falsos stocks"/>
    <s v="gestionar inventario en piso"/>
    <x v="2"/>
    <m/>
    <s v="No"/>
    <s v="Reponedor/reponedora"/>
    <n v="9334"/>
    <s v="Reponedores de estanterías"/>
  </r>
  <r>
    <n v="1117990944"/>
    <s v="Repositor/a Externo/a (Eventual) Moreno"/>
    <s v="IMPLÍCITA"/>
    <s v="Control de quiebres y falsos stocks"/>
    <s v="reportar quiebres de stock"/>
    <x v="2"/>
    <m/>
    <s v="No"/>
    <s v="Reponedor/reponedora"/>
    <n v="9334"/>
    <s v="Reponedores de estanterías"/>
  </r>
  <r>
    <n v="1117990944"/>
    <s v="Repositor/a Externo/a (Eventual) Moreno"/>
    <s v="IMPLÍCITA"/>
    <s v="Control de mermas y calidad"/>
    <s v="controlar calidad de productos"/>
    <x v="2"/>
    <m/>
    <s v="No"/>
    <s v="Reponedor/reponedora"/>
    <n v="9334"/>
    <s v="Reponedores de estanterías"/>
  </r>
  <r>
    <n v="1117990944"/>
    <s v="Repositor/a Externo/a (Eventual) Moreno"/>
    <s v="IMPLÍCITA"/>
    <s v="Control de mermas y calidad"/>
    <s v="registrar mermas"/>
    <x v="2"/>
    <m/>
    <s v="No"/>
    <s v="Reponedor/reponedora"/>
    <n v="9334"/>
    <s v="Reponedores de estanterías"/>
  </r>
  <r>
    <n v="1117995368"/>
    <s v="ASESOR TÉCNICO NUTRICIÓN ANIMAL RUMIANTES"/>
    <s v="DECLARADA"/>
    <s v="disposición para viajar"/>
    <s v="disponibilidad para viajar"/>
    <x v="0"/>
    <s v="Disponibilidad"/>
    <s v="No"/>
    <s v="Asesor de orientación profesional"/>
    <n v="2423"/>
    <s v="Especialistas en políticas y servicios de personal"/>
  </r>
  <r>
    <n v="1118000814"/>
    <s v="Asistente Administrativo de Ventas"/>
    <s v="DECLARADA"/>
    <s v="Excel avanzado"/>
    <s v="utilizar hojas de cálculo"/>
    <x v="2"/>
    <s v="Software Ofimático"/>
    <s v="Sí"/>
    <s v="Asistente de dirección"/>
    <n v="3343"/>
    <s v="Secretarios administrativos y ejecutivos"/>
  </r>
  <r>
    <n v="1118000814"/>
    <s v="Asistente Administrativo de Ventas"/>
    <s v="DECLARADA"/>
    <s v="autonomía y proactividad"/>
    <s v="mostrar iniciativa"/>
    <x v="0"/>
    <s v="Iniciativa"/>
    <s v="No"/>
    <s v="Asistente de dirección"/>
    <n v="3343"/>
    <s v="Secretarios administrativos y ejecutivos"/>
  </r>
  <r>
    <n v="1118000814"/>
    <s v="Asistente Administrativo de Ventas"/>
    <s v="DECLARADA"/>
    <s v="orden y precisión administrativa"/>
    <s v="prestar atención al detalle"/>
    <x v="0"/>
    <s v="Organización"/>
    <s v="No"/>
    <s v="Asistente de dirección"/>
    <n v="3343"/>
    <s v="Secretarios administrativos y ejecutivos"/>
  </r>
  <r>
    <n v="1118000814"/>
    <s v="Asistente Administrativo de Ventas"/>
    <s v="DECLARADA"/>
    <s v="orientación a resultados y al cliente interno"/>
    <s v="orientación a resultados"/>
    <x v="0"/>
    <s v="Orientación Resultados"/>
    <s v="No"/>
    <s v="Asistente de dirección"/>
    <n v="3343"/>
    <s v="Secretarios administrativos y ejecutivos"/>
  </r>
  <r>
    <n v="1118000814"/>
    <s v="Asistente Administrativo de Ventas"/>
    <s v="DECLARADA"/>
    <s v="capacidad analítica y atención al detalle"/>
    <s v="aplicar pensamiento analítico"/>
    <x v="0"/>
    <s v="Pensamiento Analítico"/>
    <s v="No"/>
    <s v="Asistente de dirección"/>
    <n v="3343"/>
    <s v="Secretarios administrativos y ejecutivos"/>
  </r>
  <r>
    <n v="1118000814"/>
    <s v="Asistente Administrativo de Ventas"/>
    <s v="DECLARADA"/>
    <s v="trabajo en equipo y comunicación efectiva"/>
    <s v="trabajar en equipo"/>
    <x v="0"/>
    <s v="Colaboración"/>
    <s v="No"/>
    <s v="Asistente de dirección"/>
    <n v="3343"/>
    <s v="Secretarios administrativos y ejecutivos"/>
  </r>
  <r>
    <n v="1118000814"/>
    <s v="Asistente Administrativo de Ventas"/>
    <s v="IMPLÍCITA"/>
    <s v="Cargar y actualizar pedidos en el sistema"/>
    <s v="ingresar pedidos al sistema"/>
    <x v="3"/>
    <m/>
    <s v="Sí"/>
    <s v="Asistente de dirección"/>
    <n v="3343"/>
    <s v="Secretarios administrativos y ejecutivos"/>
  </r>
  <r>
    <n v="1118000814"/>
    <s v="Asistente Administrativo de Ventas"/>
    <s v="IMPLÍCITA"/>
    <s v="Cargar y actualizar pedidos en el sistema"/>
    <s v="utilizar sistemas de gestión comercial"/>
    <x v="3"/>
    <m/>
    <s v="Sí"/>
    <s v="Asistente de dirección"/>
    <n v="3343"/>
    <s v="Secretarios administrativos y ejecutivos"/>
  </r>
  <r>
    <n v="1118000814"/>
    <s v="Asistente Administrativo de Ventas"/>
    <s v="IMPLÍCITA"/>
    <s v="Elaborar reportes de ventas mediante Excel"/>
    <s v="crear tablas dinámicas"/>
    <x v="3"/>
    <m/>
    <s v="Sí"/>
    <s v="Asistente de dirección"/>
    <n v="3343"/>
    <s v="Secretarios administrativos y ejecutivos"/>
  </r>
  <r>
    <n v="1118000814"/>
    <s v="Asistente Administrativo de Ventas"/>
    <s v="IMPLÍCITA"/>
    <s v="Elaborar reportes de ventas mediante Excel"/>
    <s v="analizar datos de ventas"/>
    <x v="2"/>
    <m/>
    <s v="No"/>
    <s v="Asistente de dirección"/>
    <n v="3343"/>
    <s v="Secretarios administrativos y ejecutivos"/>
  </r>
  <r>
    <n v="1118000814"/>
    <s v="Asistente Administrativo de Ventas"/>
    <s v="IMPLÍCITA"/>
    <s v="Controlar entregas con logística"/>
    <s v="coordinar despachos"/>
    <x v="2"/>
    <m/>
    <s v="No"/>
    <s v="Asistente de dirección"/>
    <n v="3343"/>
    <s v="Secretarios administrativos y ejecutivos"/>
  </r>
  <r>
    <n v="1118000814"/>
    <s v="Asistente Administrativo de Ventas"/>
    <s v="IMPLÍCITA"/>
    <s v="Controlar entregas con logística"/>
    <s v="dar seguimiento a entregas"/>
    <x v="2"/>
    <m/>
    <s v="No"/>
    <s v="Asistente de dirección"/>
    <n v="3343"/>
    <s v="Secretarios administrativos y ejecutivos"/>
  </r>
  <r>
    <n v="1118000814"/>
    <s v="Asistente Administrativo de Ventas"/>
    <s v="IMPLÍCITA"/>
    <s v="Mantener base de datos de clientes"/>
    <s v="gestionar bases de datos"/>
    <x v="3"/>
    <m/>
    <s v="Sí"/>
    <s v="Asistente de dirección"/>
    <n v="3343"/>
    <s v="Secretarios administrativos y ejecutivos"/>
  </r>
  <r>
    <n v="1118000814"/>
    <s v="Asistente Administrativo de Ventas"/>
    <s v="IMPLÍCITA"/>
    <s v="Mantener base de datos de clientes"/>
    <s v="actualizar información de clientes"/>
    <x v="3"/>
    <m/>
    <s v="Sí"/>
    <s v="Asistente de dirección"/>
    <n v="3343"/>
    <s v="Secretarios administrativos y ejecutivos"/>
  </r>
  <r>
    <n v="1118000814"/>
    <s v="Asistente Administrativo de Ventas"/>
    <s v="IMPLÍCITA"/>
    <s v="Seguimiento de cobranzas"/>
    <s v="gestionar cuentas por cobrar"/>
    <x v="2"/>
    <m/>
    <s v="No"/>
    <s v="Asistente de dirección"/>
    <n v="3343"/>
    <s v="Secretarios administrativos y ejecutivos"/>
  </r>
  <r>
    <n v="1118000814"/>
    <s v="Asistente Administrativo de Ventas"/>
    <s v="IMPLÍCITA"/>
    <s v="Seguimiento de cobranzas"/>
    <s v="dar seguimiento a pagos pendientes"/>
    <x v="2"/>
    <m/>
    <s v="No"/>
    <s v="Asistente de dirección"/>
    <n v="3343"/>
    <s v="Secretarios administrativos y ejecutivos"/>
  </r>
  <r>
    <n v="1118000814"/>
    <s v="Asistente Administrativo de Ventas"/>
    <s v="IMPLÍCITA"/>
    <s v="Preparar presentaciones comerciales"/>
    <s v="utilizar software de presentaciones"/>
    <x v="3"/>
    <m/>
    <s v="Sí"/>
    <s v="Asistente de dirección"/>
    <n v="3343"/>
    <s v="Secretarios administrativos y ejecutivos"/>
  </r>
  <r>
    <n v="1118000814"/>
    <s v="Asistente Administrativo de Ventas"/>
    <s v="IMPLÍCITA"/>
    <s v="Preparar presentaciones comerciales"/>
    <s v="crear informes visuales"/>
    <x v="2"/>
    <m/>
    <s v="No"/>
    <s v="Asistente de dirección"/>
    <n v="3343"/>
    <s v="Secretarios administrativos y ejecutivos"/>
  </r>
  <r>
    <n v="1118000814"/>
    <s v="Asistente Administrativo de Ventas"/>
    <s v="IMPLÍCITA"/>
    <s v="Colaborar en campañas de venta"/>
    <s v="apoyar acciones comerciales"/>
    <x v="2"/>
    <m/>
    <s v="No"/>
    <s v="Asistente de dirección"/>
    <n v="3343"/>
    <s v="Secretarios administrativos y ejecutivos"/>
  </r>
  <r>
    <n v="1118000814"/>
    <s v="Asistente Administrativo de Ventas"/>
    <s v="IMPLÍCITA"/>
    <s v="Colaborar en campañas de venta"/>
    <s v="coordinar actividades promocionales"/>
    <x v="2"/>
    <m/>
    <s v="No"/>
    <s v="Asistente de dirección"/>
    <n v="3343"/>
    <s v="Secretarios administrativos y ejecutivos"/>
  </r>
  <r>
    <n v="1118000814"/>
    <s v="Asistente Administrativo de Ventas"/>
    <s v="IMPLÍCITA"/>
    <s v="Gestionar documentación comercial"/>
    <s v="organizar archivos comerciales"/>
    <x v="2"/>
    <m/>
    <s v="No"/>
    <s v="Asistente de dirección"/>
    <n v="3343"/>
    <s v="Secretarios administrativos y ejecutivos"/>
  </r>
  <r>
    <n v="1118000814"/>
    <s v="Asistente Administrativo de Ventas"/>
    <s v="IMPLÍCITA"/>
    <s v="Gestionar documentación comercial"/>
    <s v="mantener documentación ordenada"/>
    <x v="2"/>
    <m/>
    <s v="No"/>
    <s v="Asistente de dirección"/>
    <n v="3343"/>
    <s v="Secretarios administrativos y ejecutivos"/>
  </r>
  <r>
    <n v="1118003709"/>
    <s v="CAJERO/ENCARGADO"/>
    <s v="DECLARADA"/>
    <s v="Office"/>
    <s v="utilizar software ofimático"/>
    <x v="2"/>
    <s v="Software Ofimático"/>
    <s v="Sí"/>
    <s v="Cajero/cajera"/>
    <n v="5230"/>
    <s v="Cajeros y expendedores de billetes"/>
  </r>
  <r>
    <n v="1118003709"/>
    <s v="CAJERO/ENCARGADO"/>
    <s v="DECLARADA"/>
    <s v="Excel"/>
    <s v="utilizar hojas de cálculo"/>
    <x v="2"/>
    <s v="Software Ofimático"/>
    <s v="Sí"/>
    <s v="Cajero/cajera"/>
    <n v="5230"/>
    <s v="Cajeros y expendedores de billetes"/>
  </r>
  <r>
    <n v="1118003709"/>
    <s v="CAJERO/ENCARGADO"/>
    <s v="IMPLÍCITA"/>
    <s v="Manejo de transacciones diarias"/>
    <s v="operar caja registradora"/>
    <x v="2"/>
    <m/>
    <s v="No"/>
    <s v="Cajero/cajera"/>
    <n v="5230"/>
    <s v="Cajeros y expendedores de billetes"/>
  </r>
  <r>
    <n v="1118003709"/>
    <s v="CAJERO/ENCARGADO"/>
    <s v="IMPLÍCITA"/>
    <s v="Manejo de transacciones diarias"/>
    <s v="procesar pagos"/>
    <x v="2"/>
    <m/>
    <s v="No"/>
    <s v="Cajero/cajera"/>
    <n v="5230"/>
    <s v="Cajeros y expendedores de billetes"/>
  </r>
  <r>
    <n v="1118003709"/>
    <s v="CAJERO/ENCARGADO"/>
    <s v="IMPLÍCITA"/>
    <s v="Arqueo de caja"/>
    <s v="realizar arqueos de caja"/>
    <x v="2"/>
    <m/>
    <s v="No"/>
    <s v="Cajero/cajera"/>
    <n v="5230"/>
    <s v="Cajeros y expendedores de billetes"/>
  </r>
  <r>
    <n v="1118003709"/>
    <s v="CAJERO/ENCARGADO"/>
    <s v="IMPLÍCITA"/>
    <s v="Arqueo de caja"/>
    <s v="cuadrar ingresos del día"/>
    <x v="2"/>
    <m/>
    <s v="No"/>
    <s v="Cajero/cajera"/>
    <n v="5230"/>
    <s v="Cajeros y expendedores de billetes"/>
  </r>
  <r>
    <n v="1118003709"/>
    <s v="CAJERO/ENCARGADO"/>
    <s v="IMPLÍCITA"/>
    <s v="Atención al cliente"/>
    <s v="prestar atención al cliente"/>
    <x v="4"/>
    <m/>
    <s v="No"/>
    <s v="Cajero/cajera"/>
    <n v="5230"/>
    <s v="Cajeros y expendedores de billetes"/>
  </r>
  <r>
    <n v="1118003709"/>
    <s v="CAJERO/ENCARGADO"/>
    <s v="IMPLÍCITA"/>
    <s v="Atención al cliente"/>
    <s v="resolver reclamos"/>
    <x v="4"/>
    <m/>
    <s v="No"/>
    <s v="Cajero/cajera"/>
    <n v="5230"/>
    <s v="Cajeros y expendedores de billetes"/>
  </r>
  <r>
    <n v="1118003709"/>
    <s v="CAJERO/ENCARGADO"/>
    <s v="IMPLÍCITA"/>
    <s v="Coordinar equipo del turno"/>
    <s v="supervisar personal de turno"/>
    <x v="1"/>
    <m/>
    <s v="No"/>
    <s v="Cajero/cajera"/>
    <n v="5230"/>
    <s v="Cajeros y expendedores de billetes"/>
  </r>
  <r>
    <n v="1118003709"/>
    <s v="CAJERO/ENCARGADO"/>
    <s v="IMPLÍCITA"/>
    <s v="Coordinar equipo del turno"/>
    <s v="delegar responsabilidades"/>
    <x v="1"/>
    <m/>
    <s v="No"/>
    <s v="Cajero/cajera"/>
    <n v="5230"/>
    <s v="Cajeros y expendedores de billetes"/>
  </r>
  <r>
    <n v="1118009703"/>
    <s v="Asesor Comercial E Commerce - Manager de redes sociales"/>
    <s v="DECLARADA"/>
    <s v="Paquete Office"/>
    <s v="utilizar software ofimático"/>
    <x v="2"/>
    <s v="Software Ofimático"/>
    <s v="Sí"/>
    <s v="Asistente de departamento de ventas"/>
    <n v="4311"/>
    <s v="Empleados de contabilidad y cálculo de costos"/>
  </r>
  <r>
    <n v="1118009703"/>
    <s v="Asesor Comercial E Commerce - Manager de redes sociales"/>
    <s v="DECLARADA"/>
    <s v="CRM Hubspot"/>
    <s v="utilizar software CRM"/>
    <x v="2"/>
    <s v="Sistemas CRM"/>
    <s v="Sí"/>
    <s v="Asistente de departamento de ventas"/>
    <n v="4311"/>
    <s v="Empleados de contabilidad y cálculo de costos"/>
  </r>
  <r>
    <n v="1118009703"/>
    <s v="Asesor Comercial E Commerce - Manager de redes sociales"/>
    <s v="DECLARADA"/>
    <s v="Photoshop o afín"/>
    <s v="utilizar software edición imágenes"/>
    <x v="2"/>
    <s v="Diseño Gráfico"/>
    <s v="Sí"/>
    <s v="Asistente de departamento de ventas"/>
    <n v="4311"/>
    <s v="Empleados de contabilidad y cálculo de costos"/>
  </r>
  <r>
    <n v="1118009703"/>
    <s v="Asesor Comercial E Commerce - Manager de redes sociales"/>
    <s v="DECLARADA"/>
    <s v="Canva o afín"/>
    <s v="utilizar software edición imágenes"/>
    <x v="2"/>
    <s v="Diseño Gráfico"/>
    <s v="Sí"/>
    <s v="Asistente de departamento de ventas"/>
    <n v="4311"/>
    <s v="Empleados de contabilidad y cálculo de costos"/>
  </r>
  <r>
    <n v="1118009703"/>
    <s v="Asesor Comercial E Commerce - Manager de redes sociales"/>
    <s v="DECLARADA"/>
    <s v="Manejo de prioridades, tiempos y seguimientos"/>
    <s v="gestionar el tiempo"/>
    <x v="0"/>
    <s v="Organización"/>
    <s v="No"/>
    <s v="Asistente de departamento de ventas"/>
    <n v="4311"/>
    <s v="Empleados de contabilidad y cálculo de costos"/>
  </r>
  <r>
    <n v="1118009703"/>
    <s v="Asesor Comercial E Commerce - Manager de redes sociales"/>
    <s v="DECLARADA"/>
    <s v="Manejo de presupuestos"/>
    <s v="gestionar presupuestos"/>
    <x v="1"/>
    <s v="Gestión Financiera"/>
    <s v="No"/>
    <s v="Asistente de departamento de ventas"/>
    <n v="4311"/>
    <s v="Empleados de contabilidad y cálculo de costos"/>
  </r>
  <r>
    <n v="1118009703"/>
    <s v="Asesor Comercial E Commerce - Manager de redes sociales"/>
    <s v="DECLARADA"/>
    <s v="Toleración a la presión del resultado y medición por objetivos"/>
    <s v="trabajar bajo presión"/>
    <x v="0"/>
    <s v="Orientación Resultados"/>
    <s v="No"/>
    <s v="Asistente de departamento de ventas"/>
    <n v="4311"/>
    <s v="Empleados de contabilidad y cálculo de costos"/>
  </r>
  <r>
    <n v="1118009703"/>
    <s v="Asesor Comercial E Commerce - Manager de redes sociales"/>
    <s v="DECLARADA"/>
    <s v="Adaptabilidad y flexibilidad"/>
    <s v="adaptarse al cambio"/>
    <x v="0"/>
    <s v="Adaptabilidad"/>
    <s v="No"/>
    <s v="Asistente de departamento de ventas"/>
    <n v="4311"/>
    <s v="Empleados de contabilidad y cálculo de costos"/>
  </r>
  <r>
    <n v="1118009703"/>
    <s v="Asesor Comercial E Commerce - Manager de redes sociales"/>
    <s v="DECLARADA"/>
    <s v="Trabajo en equipo y colaboración"/>
    <s v="trabajar en equipo"/>
    <x v="0"/>
    <s v="Colaboración"/>
    <s v="No"/>
    <s v="Asistente de departamento de ventas"/>
    <n v="4311"/>
    <s v="Empleados de contabilidad y cálculo de costos"/>
  </r>
  <r>
    <n v="1118009703"/>
    <s v="Asesor Comercial E Commerce - Manager de redes sociales"/>
    <s v="IMPLÍCITA"/>
    <s v="Asesoramiento comercial a emprendedores"/>
    <s v="asesorar clientes B2B"/>
    <x v="2"/>
    <m/>
    <s v="No"/>
    <s v="Asistente de departamento de ventas"/>
    <n v="4311"/>
    <s v="Empleados de contabilidad y cálculo de costos"/>
  </r>
  <r>
    <n v="1118009703"/>
    <s v="Asesor Comercial E Commerce - Manager de redes sociales"/>
    <s v="IMPLÍCITA"/>
    <s v="Asesoramiento comercial a emprendedores"/>
    <s v="identificar necesidades de negocio"/>
    <x v="2"/>
    <m/>
    <s v="No"/>
    <s v="Asistente de departamento de ventas"/>
    <n v="4311"/>
    <s v="Empleados de contabilidad y cálculo de costos"/>
  </r>
  <r>
    <n v="1118009703"/>
    <s v="Asesor Comercial E Commerce - Manager de redes sociales"/>
    <s v="IMPLÍCITA"/>
    <s v="Venta de máquinas automatizadas"/>
    <s v="realizar ventas técnicas"/>
    <x v="2"/>
    <m/>
    <s v="No"/>
    <s v="Asistente de departamento de ventas"/>
    <n v="4311"/>
    <s v="Empleados de contabilidad y cálculo de costos"/>
  </r>
  <r>
    <n v="1118009703"/>
    <s v="Asesor Comercial E Commerce - Manager de redes sociales"/>
    <s v="IMPLÍCITA"/>
    <s v="Venta de máquinas automatizadas"/>
    <s v="demostrar productos"/>
    <x v="2"/>
    <m/>
    <s v="No"/>
    <s v="Asistente de departamento de ventas"/>
    <n v="4311"/>
    <s v="Empleados de contabilidad y cálculo de costos"/>
  </r>
  <r>
    <n v="1118009703"/>
    <s v="Asesor Comercial E Commerce - Manager de redes sociales"/>
    <s v="IMPLÍCITA"/>
    <s v="Creación de anuncios en e-commerce"/>
    <s v="gestionar plataformas e-commerce"/>
    <x v="3"/>
    <m/>
    <s v="Sí"/>
    <s v="Asistente de departamento de ventas"/>
    <n v="4311"/>
    <s v="Empleados de contabilidad y cálculo de costos"/>
  </r>
  <r>
    <n v="1118009703"/>
    <s v="Asesor Comercial E Commerce - Manager de redes sociales"/>
    <s v="IMPLÍCITA"/>
    <s v="Creación de anuncios en e-commerce"/>
    <s v="redactar descripciones de productos"/>
    <x v="2"/>
    <m/>
    <s v="No"/>
    <s v="Asistente de departamento de ventas"/>
    <n v="4311"/>
    <s v="Empleados de contabilidad y cálculo de costos"/>
  </r>
  <r>
    <n v="1118009703"/>
    <s v="Asesor Comercial E Commerce - Manager de redes sociales"/>
    <s v="IMPLÍCITA"/>
    <s v="Creación de anuncios en e-commerce"/>
    <s v="optimizar publicaciones para SEO"/>
    <x v="3"/>
    <m/>
    <s v="Sí"/>
    <s v="Asistente de departamento de ventas"/>
    <n v="4311"/>
    <s v="Empleados de contabilidad y cálculo de costos"/>
  </r>
  <r>
    <n v="1118009703"/>
    <s v="Asesor Comercial E Commerce - Manager de redes sociales"/>
    <s v="IMPLÍCITA"/>
    <s v="Diseños para redes sociales"/>
    <s v="crear contenido visual"/>
    <x v="3"/>
    <m/>
    <s v="Sí"/>
    <s v="Asistente de departamento de ventas"/>
    <n v="4311"/>
    <s v="Empleados de contabilidad y cálculo de costos"/>
  </r>
  <r>
    <n v="1118009703"/>
    <s v="Asesor Comercial E Commerce - Manager de redes sociales"/>
    <s v="IMPLÍCITA"/>
    <s v="Supervisión a agencia de marketing digital"/>
    <s v="supervisar campañas digitales"/>
    <x v="3"/>
    <m/>
    <s v="Sí"/>
    <s v="Asistente de departamento de ventas"/>
    <n v="4311"/>
    <s v="Empleados de contabilidad y cálculo de costos"/>
  </r>
  <r>
    <n v="1118009703"/>
    <s v="Asesor Comercial E Commerce - Manager de redes sociales"/>
    <s v="IMPLÍCITA"/>
    <s v="Supervisión a agencia de marketing digital"/>
    <s v="analizar métricas de marketing"/>
    <x v="3"/>
    <m/>
    <s v="Sí"/>
    <s v="Asistente de departamento de ventas"/>
    <n v="4311"/>
    <s v="Empleados de contabilidad y cálculo de costos"/>
  </r>
  <r>
    <n v="1118009703"/>
    <s v="Asesor Comercial E Commerce - Manager de redes sociales"/>
    <s v="IMPLÍCITA"/>
    <s v="Supervisión a agencia de marketing digital"/>
    <s v="coordinar con proveedores externos"/>
    <x v="1"/>
    <m/>
    <s v="No"/>
    <s v="Asistente de departamento de ventas"/>
    <n v="4311"/>
    <s v="Empleados de contabilidad y cálculo de costos"/>
  </r>
  <r>
    <n v="1118009703"/>
    <s v="Asesor Comercial E Commerce - Manager de redes sociales"/>
    <s v="IMPLÍCITA"/>
    <s v="Manejo de CRM y sistemas de gestión"/>
    <s v="gestionar pipeline comercial"/>
    <x v="2"/>
    <m/>
    <s v="No"/>
    <s v="Asistente de departamento de ventas"/>
    <n v="4311"/>
    <s v="Empleados de contabilidad y cálculo de costos"/>
  </r>
  <r>
    <n v="1118009739"/>
    <s v="Administrativa Comercio Exterior"/>
    <s v="IMPLÍCITA"/>
    <s v="Gestión de Facturación de Clientes"/>
    <s v="procesar facturas de exportación"/>
    <x v="2"/>
    <m/>
    <s v="No"/>
    <s v="Empleado de oficina/empleada de oficina"/>
    <n v="4110"/>
    <s v="Oficinistas generales"/>
  </r>
  <r>
    <n v="1118009739"/>
    <s v="Administrativa Comercio Exterior"/>
    <s v="IMPLÍCITA"/>
    <s v="Gestión de Facturación de Clientes"/>
    <s v="gestionar documentación Comex"/>
    <x v="2"/>
    <m/>
    <s v="No"/>
    <s v="Empleado de oficina/empleada de oficina"/>
    <n v="4110"/>
    <s v="Oficinistas generales"/>
  </r>
  <r>
    <n v="1118009739"/>
    <s v="Administrativa Comercio Exterior"/>
    <s v="IMPLÍCITA"/>
    <s v="Cierre de ciclos de pago"/>
    <s v="coordinar pagos internacionales"/>
    <x v="2"/>
    <m/>
    <s v="No"/>
    <s v="Empleado de oficina/empleada de oficina"/>
    <n v="4110"/>
    <s v="Oficinistas generales"/>
  </r>
  <r>
    <n v="1118009739"/>
    <s v="Administrativa Comercio Exterior"/>
    <s v="IMPLÍCITA"/>
    <s v="Cierre de ciclos de pago"/>
    <s v="gestionar divisas"/>
    <x v="2"/>
    <m/>
    <s v="No"/>
    <s v="Empleado de oficina/empleada de oficina"/>
    <n v="4110"/>
    <s v="Oficinistas generales"/>
  </r>
  <r>
    <n v="1118009739"/>
    <s v="Administrativa Comercio Exterior"/>
    <s v="IMPLÍCITA"/>
    <s v="Cierre de ciclos de pago"/>
    <s v="controlar compliance aduanero"/>
    <x v="2"/>
    <m/>
    <s v="No"/>
    <s v="Empleado de oficina/empleada de oficina"/>
    <n v="4110"/>
    <s v="Oficinistas generales"/>
  </r>
  <r>
    <n v="1118017586"/>
    <s v="Médica Clínica o Dermatóloga – Especialista en tratamientos estéticos inyectables"/>
    <s v="DECLARADA"/>
    <s v="tratamientos con tecnología láser"/>
    <s v="aplicar tratamientos láser"/>
    <x v="2"/>
    <s v="Tecnología Médica"/>
    <s v="Sí"/>
    <s v="Médico generalista/médica generalista"/>
    <n v="2211"/>
    <s v="Médicos generales"/>
  </r>
  <r>
    <n v="1118017586"/>
    <s v="Médica Clínica o Dermatóloga – Especialista en tratamientos estéticos inyectables"/>
    <s v="DECLARADA"/>
    <s v="excelente trato interpersonal"/>
    <s v="establecer relaciones interpersonales"/>
    <x v="0"/>
    <s v="Relaciones Interpersonales"/>
    <s v="No"/>
    <s v="Médico generalista/médica generalista"/>
    <n v="2211"/>
    <s v="Médicos generales"/>
  </r>
  <r>
    <n v="1118017586"/>
    <s v="Médica Clínica o Dermatóloga – Especialista en tratamientos estéticos inyectables"/>
    <s v="DECLARADA"/>
    <s v="orientación al paciente"/>
    <s v="prestar atención al paciente"/>
    <x v="4"/>
    <s v="Atención Paciente"/>
    <s v="No"/>
    <s v="Médico generalista/médica generalista"/>
    <n v="2211"/>
    <s v="Médicos generales"/>
  </r>
  <r>
    <n v="1118017586"/>
    <s v="Médica Clínica o Dermatóloga – Especialista en tratamientos estéticos inyectables"/>
    <s v="IMPLÍCITA"/>
    <s v="Realizar procedimientos inyectables"/>
    <s v="aplicar tratamientos estéticos inyectables"/>
    <x v="2"/>
    <m/>
    <s v="No"/>
    <s v="Médico generalista/médica generalista"/>
    <n v="2211"/>
    <s v="Médicos generales"/>
  </r>
  <r>
    <n v="1118017586"/>
    <s v="Médica Clínica o Dermatóloga – Especialista en tratamientos estéticos inyectables"/>
    <s v="IMPLÍCITA"/>
    <s v="Realizar procedimientos inyectables"/>
    <s v="evaluar pacientes para procedimientos"/>
    <x v="2"/>
    <m/>
    <s v="No"/>
    <s v="Médico generalista/médica generalista"/>
    <n v="2211"/>
    <s v="Médicos generales"/>
  </r>
  <r>
    <n v="1118017586"/>
    <s v="Médica Clínica o Dermatóloga – Especialista en tratamientos estéticos inyectables"/>
    <s v="IMPLÍCITA"/>
    <s v="Aplicar tratamientos con tecnología láser"/>
    <s v="aplicar protocolos de seguridad láser"/>
    <x v="2"/>
    <m/>
    <s v="No"/>
    <s v="Médico generalista/médica generalista"/>
    <n v="2211"/>
    <s v="Médicos generales"/>
  </r>
  <r>
    <n v="1118018461"/>
    <s v="Asesor/a de Admisiones"/>
    <s v="DECLARADA"/>
    <s v="paquete Office"/>
    <s v="utilizar software ofimático"/>
    <x v="2"/>
    <s v="Software Ofimático"/>
    <s v="Sí"/>
    <s v="Asesor jurídico/asesora jurídica"/>
    <n v="2619"/>
    <s v="Profesionales en derecho no clasificados"/>
  </r>
  <r>
    <n v="1118018461"/>
    <s v="Asesor/a de Admisiones"/>
    <s v="DECLARADA"/>
    <s v="herramientas de Google"/>
    <s v="utilizar herramientas informáticas"/>
    <x v="2"/>
    <s v="Informática General"/>
    <s v="Sí"/>
    <s v="Asesor jurídico/asesora jurídica"/>
    <n v="2619"/>
    <s v="Profesionales en derecho no clasificados"/>
  </r>
  <r>
    <n v="1118018461"/>
    <s v="Asesor/a de Admisiones"/>
    <s v="DECLARADA"/>
    <s v="dinámica"/>
    <s v="mostrar iniciativa"/>
    <x v="0"/>
    <s v="Iniciativa"/>
    <s v="No"/>
    <s v="Asesor jurídico/asesora jurídica"/>
    <n v="2619"/>
    <s v="Profesionales en derecho no clasificados"/>
  </r>
  <r>
    <n v="1118018461"/>
    <s v="Asesor/a de Admisiones"/>
    <s v="DECLARADA"/>
    <s v="proactiva"/>
    <s v="mostrar iniciativa"/>
    <x v="0"/>
    <s v="Iniciativa"/>
    <s v="No"/>
    <s v="Asesor jurídico/asesora jurídica"/>
    <n v="2619"/>
    <s v="Profesionales en derecho no clasificados"/>
  </r>
  <r>
    <n v="1118018461"/>
    <s v="Asesor/a de Admisiones"/>
    <s v="DECLARADA"/>
    <s v="resolutiva"/>
    <s v="resolver problemas"/>
    <x v="0"/>
    <s v="Pensamiento Analítico"/>
    <s v="No"/>
    <s v="Asesor jurídico/asesora jurídica"/>
    <n v="2619"/>
    <s v="Profesionales en derecho no clasificados"/>
  </r>
  <r>
    <n v="1118018461"/>
    <s v="Asesor/a de Admisiones"/>
    <s v="DECLARADA"/>
    <s v="vocación de servicio"/>
    <s v="prestar atención al cliente"/>
    <x v="4"/>
    <s v="Orientación Cliente"/>
    <s v="No"/>
    <s v="Asesor jurídico/asesora jurídica"/>
    <n v="2619"/>
    <s v="Profesionales en derecho no clasificados"/>
  </r>
  <r>
    <n v="1118018461"/>
    <s v="Asesor/a de Admisiones"/>
    <s v="DECLARADA"/>
    <s v="atenta a los detalles"/>
    <s v="prestar atención al detalle"/>
    <x v="0"/>
    <s v="Atención Detalle"/>
    <s v="No"/>
    <s v="Asesor jurídico/asesora jurídica"/>
    <n v="2619"/>
    <s v="Profesionales en derecho no clasificados"/>
  </r>
  <r>
    <n v="1118018461"/>
    <s v="Asesor/a de Admisiones"/>
    <s v="DECLARADA"/>
    <s v="excelente comunicación oral y escrita"/>
    <s v="comunicarse eficazmente"/>
    <x v="0"/>
    <s v="Comunicación"/>
    <s v="No"/>
    <s v="Asesor jurídico/asesora jurídica"/>
    <n v="2619"/>
    <s v="Profesionales en derecho no clasificados"/>
  </r>
  <r>
    <n v="1118018461"/>
    <s v="Asesor/a de Admisiones"/>
    <s v="IMPLÍCITA"/>
    <s v="Asesoramiento personalizado"/>
    <s v="asesorar sobre carreras universitarias"/>
    <x v="4"/>
    <m/>
    <s v="No"/>
    <s v="Asesor jurídico/asesora jurídica"/>
    <n v="2619"/>
    <s v="Profesionales en derecho no clasificados"/>
  </r>
  <r>
    <n v="1118018461"/>
    <s v="Asesor/a de Admisiones"/>
    <s v="IMPLÍCITA"/>
    <s v="Asesoramiento personalizado"/>
    <s v="guiar proceso de admisión"/>
    <x v="4"/>
    <m/>
    <s v="No"/>
    <s v="Asesor jurídico/asesora jurídica"/>
    <n v="2619"/>
    <s v="Profesionales en derecho no clasificados"/>
  </r>
  <r>
    <n v="1118018461"/>
    <s v="Asesor/a de Admisiones"/>
    <s v="IMPLÍCITA"/>
    <s v="Charlas grupales sobre programas"/>
    <s v="realizar presentaciones públicas"/>
    <x v="0"/>
    <m/>
    <s v="No"/>
    <s v="Asesor jurídico/asesora jurídica"/>
    <n v="2619"/>
    <s v="Profesionales en derecho no clasificados"/>
  </r>
  <r>
    <n v="1118018461"/>
    <s v="Asesor/a de Admisiones"/>
    <s v="IMPLÍCITA"/>
    <s v="Charlas grupales sobre programas"/>
    <s v="comunicar información académica"/>
    <x v="2"/>
    <m/>
    <s v="No"/>
    <s v="Asesor jurídico/asesora jurídica"/>
    <n v="2619"/>
    <s v="Profesionales en derecho no clasificados"/>
  </r>
  <r>
    <n v="1118018461"/>
    <s v="Asesor/a de Admisiones"/>
    <s v="IMPLÍCITA"/>
    <s v="Atención por mail, WhatsApp y teléfono"/>
    <s v="atender consultas multicanal"/>
    <x v="4"/>
    <m/>
    <s v="No"/>
    <s v="Asesor jurídico/asesora jurídica"/>
    <n v="2619"/>
    <s v="Profesionales en derecho no clasificados"/>
  </r>
  <r>
    <n v="1118018461"/>
    <s v="Asesor/a de Admisiones"/>
    <s v="IMPLÍCITA"/>
    <s v="Atención por mail, WhatsApp y teléfono"/>
    <s v="utilizar plataformas de mensajería"/>
    <x v="3"/>
    <m/>
    <s v="Sí"/>
    <s v="Asesor jurídico/asesora jurídica"/>
    <n v="2619"/>
    <s v="Profesionales en derecho no clasificados"/>
  </r>
  <r>
    <n v="1118018461"/>
    <s v="Asesor/a de Admisiones"/>
    <s v="IMPLÍCITA"/>
    <s v="Gestión de eventos"/>
    <s v="coordinar eventos institucionales"/>
    <x v="1"/>
    <m/>
    <s v="No"/>
    <s v="Asesor jurídico/asesora jurídica"/>
    <n v="2619"/>
    <s v="Profesionales en derecho no clasificados"/>
  </r>
  <r>
    <n v="1118018461"/>
    <s v="Asesor/a de Admisiones"/>
    <s v="IMPLÍCITA"/>
    <s v="Gestión de eventos"/>
    <s v="organizar actividades promocionales"/>
    <x v="1"/>
    <m/>
    <s v="No"/>
    <s v="Asesor jurídico/asesora jurídica"/>
    <n v="2619"/>
    <s v="Profesionales en derecho no clasificados"/>
  </r>
  <r>
    <n v="1118018461"/>
    <s v="Asesor/a de Admisiones"/>
    <s v="IMPLÍCITA"/>
    <s v="Viajes al interior del país"/>
    <s v="realizar visitas a escuelas"/>
    <x v="2"/>
    <m/>
    <s v="No"/>
    <s v="Asesor jurídico/asesora jurídica"/>
    <n v="2619"/>
    <s v="Profesionales en derecho no clasificados"/>
  </r>
  <r>
    <n v="1118018461"/>
    <s v="Asesor/a de Admisiones"/>
    <s v="IMPLÍCITA"/>
    <s v="Viajes al interior del país"/>
    <s v="gestionar relaciones con instituciones"/>
    <x v="1"/>
    <m/>
    <s v="No"/>
    <s v="Asesor jurídico/asesora jurídica"/>
    <n v="2619"/>
    <s v="Profesionales en derecho no clasificados"/>
  </r>
  <r>
    <n v="1118018461"/>
    <s v="Asesor/a de Admisiones"/>
    <s v="IMPLÍCITA"/>
    <s v="Gestión administrativa en CRM"/>
    <s v="utilizar software CRM"/>
    <x v="3"/>
    <m/>
    <s v="Sí"/>
    <s v="Asesor jurídico/asesora jurídica"/>
    <n v="2619"/>
    <s v="Profesionales en derecho no clasificados"/>
  </r>
  <r>
    <n v="1118018461"/>
    <s v="Asesor/a de Admisiones"/>
    <s v="IMPLÍCITA"/>
    <s v="Gestión administrativa en CRM"/>
    <s v="procesar aplicaciones de postulantes"/>
    <x v="2"/>
    <m/>
    <s v="No"/>
    <s v="Asesor jurídico/asesora jurídica"/>
    <n v="2619"/>
    <s v="Profesionales en derecho no clasificados"/>
  </r>
  <r>
    <n v="1118018714"/>
    <s v="Diseñador Gráfico E-commerce"/>
    <s v="DECLARADA"/>
    <s v="Photoshop"/>
    <s v="utilizar software edición imágenes"/>
    <x v="2"/>
    <s v="Diseño Gráfico"/>
    <s v="Sí"/>
    <s v="Dibujante de guiones gráficos"/>
    <n v="2651"/>
    <s v="Artistas de artes plásticas"/>
  </r>
  <r>
    <n v="1118018714"/>
    <s v="Diseñador Gráfico E-commerce"/>
    <s v="DECLARADA"/>
    <s v="Illustrator"/>
    <s v="utilizar software edición imágenes"/>
    <x v="2"/>
    <s v="Diseño Gráfico"/>
    <s v="Sí"/>
    <s v="Dibujante de guiones gráficos"/>
    <n v="2651"/>
    <s v="Artistas de artes plásticas"/>
  </r>
  <r>
    <n v="1118018714"/>
    <s v="Diseñador Gráfico E-commerce"/>
    <s v="DECLARADA"/>
    <s v="creativo"/>
    <s v="pensar creativamente"/>
    <x v="0"/>
    <s v="Creatividad"/>
    <s v="No"/>
    <s v="Dibujante de guiones gráficos"/>
    <n v="2651"/>
    <s v="Artistas de artes plásticas"/>
  </r>
  <r>
    <n v="1118018714"/>
    <s v="Diseñador Gráfico E-commerce"/>
    <s v="IMPLÍCITA"/>
    <s v="Crear contenido visual para productos"/>
    <s v="fotografiar productos"/>
    <x v="3"/>
    <m/>
    <s v="Sí"/>
    <s v="Dibujante de guiones gráficos"/>
    <n v="2651"/>
    <s v="Artistas de artes plásticas"/>
  </r>
  <r>
    <n v="1118018714"/>
    <s v="Diseñador Gráfico E-commerce"/>
    <s v="IMPLÍCITA"/>
    <s v="Crear contenido visual para productos"/>
    <s v="editar imágenes de productos"/>
    <x v="3"/>
    <m/>
    <s v="Sí"/>
    <s v="Dibujante de guiones gráficos"/>
    <n v="2651"/>
    <s v="Artistas de artes plásticas"/>
  </r>
  <r>
    <n v="1118018714"/>
    <s v="Diseñador Gráfico E-commerce"/>
    <s v="IMPLÍCITA"/>
    <s v="Optimizar títulos y descripciones SEO"/>
    <s v="aplicar técnicas SEO"/>
    <x v="3"/>
    <m/>
    <s v="Sí"/>
    <s v="Dibujante de guiones gráficos"/>
    <n v="2651"/>
    <s v="Artistas de artes plásticas"/>
  </r>
  <r>
    <n v="1118018714"/>
    <s v="Diseñador Gráfico E-commerce"/>
    <s v="IMPLÍCITA"/>
    <s v="Optimizar títulos y descripciones SEO"/>
    <s v="redactar descripciones comerciales"/>
    <x v="2"/>
    <m/>
    <s v="No"/>
    <s v="Dibujante de guiones gráficos"/>
    <n v="2651"/>
    <s v="Artistas de artes plásticas"/>
  </r>
  <r>
    <n v="1118018714"/>
    <s v="Diseñador Gráfico E-commerce"/>
    <s v="IMPLÍCITA"/>
    <s v="Asegurar calidad de imágenes"/>
    <s v="aplicar estándares de calidad visual"/>
    <x v="2"/>
    <m/>
    <s v="No"/>
    <s v="Dibujante de guiones gráficos"/>
    <n v="2651"/>
    <s v="Artistas de artes plásticas"/>
  </r>
  <r>
    <n v="1118018714"/>
    <s v="Diseñador Gráfico E-commerce"/>
    <s v="IMPLÍCITA"/>
    <s v="Asegurar calidad de imágenes"/>
    <s v="retocar fotografías"/>
    <x v="3"/>
    <m/>
    <s v="Sí"/>
    <s v="Dibujante de guiones gráficos"/>
    <n v="2651"/>
    <s v="Artistas de artes plásticas"/>
  </r>
  <r>
    <n v="1118018714"/>
    <s v="Diseñador Gráfico E-commerce"/>
    <s v="IMPLÍCITA"/>
    <s v="Gestionar publicaciones existentes"/>
    <s v="actualizar catálogos e-commerce"/>
    <x v="3"/>
    <m/>
    <s v="Sí"/>
    <s v="Dibujante de guiones gráficos"/>
    <n v="2651"/>
    <s v="Artistas de artes plásticas"/>
  </r>
  <r>
    <n v="1118018714"/>
    <s v="Diseñador Gráfico E-commerce"/>
    <s v="IMPLÍCITA"/>
    <s v="Gestionar publicaciones existentes"/>
    <s v="mantener consistencia de marca"/>
    <x v="2"/>
    <m/>
    <s v="No"/>
    <s v="Dibujante de guiones gráficos"/>
    <n v="2651"/>
    <s v="Artistas de artes plásticas"/>
  </r>
  <r>
    <n v="1118018714"/>
    <s v="Diseñador Gráfico E-commerce"/>
    <s v="IMPLÍCITA"/>
    <s v="Colaborar en estrategias de marketing visual"/>
    <s v="desarrollar identidad visual"/>
    <x v="3"/>
    <m/>
    <s v="Sí"/>
    <s v="Dibujante de guiones gráficos"/>
    <n v="2651"/>
    <s v="Artistas de artes plásticas"/>
  </r>
  <r>
    <n v="1118018714"/>
    <s v="Diseñador Gráfico E-commerce"/>
    <s v="IMPLÍCITA"/>
    <s v="Colaborar en estrategias de marketing visual"/>
    <s v="coordinar con equipos de marketing"/>
    <x v="0"/>
    <m/>
    <s v="No"/>
    <s v="Dibujante de guiones gráficos"/>
    <n v="2651"/>
    <s v="Artistas de artes plásticas"/>
  </r>
  <r>
    <n v="1118020225"/>
    <s v="Representante de atención al cliente"/>
    <s v="DECLARADA"/>
    <s v="herramientas de CRM"/>
    <s v="utilizar software CRM"/>
    <x v="2"/>
    <s v="Sistemas CRM"/>
    <s v="Sí"/>
    <s v="Agente de atención al cliente por chat"/>
    <n v="4222"/>
    <s v="Empleados de centros de llamadas"/>
  </r>
  <r>
    <n v="1118020225"/>
    <s v="Representante de atención al cliente"/>
    <s v="DECLARADA"/>
    <s v="plataformas de mensajería como WhatsApp"/>
    <s v="utilizar plataformas mensajería"/>
    <x v="2"/>
    <s v="Comunicación Digital"/>
    <s v="Sí"/>
    <s v="Agente de atención al cliente por chat"/>
    <n v="4222"/>
    <s v="Empleados de centros de llamadas"/>
  </r>
  <r>
    <n v="1118020225"/>
    <s v="Representante de atención al cliente"/>
    <s v="DECLARADA"/>
    <s v="vocación al cliente"/>
    <s v="prestar atención al cliente"/>
    <x v="4"/>
    <s v="Orientación Cliente"/>
    <s v="No"/>
    <s v="Agente de atención al cliente por chat"/>
    <n v="4222"/>
    <s v="Empleados de centros de llamadas"/>
  </r>
  <r>
    <n v="1118020225"/>
    <s v="Representante de atención al cliente"/>
    <s v="DECLARADA"/>
    <s v="habilidades interpersonales y de comunicación excepcionales"/>
    <s v="comunicarse eficazmente"/>
    <x v="0"/>
    <s v="Comunicación"/>
    <s v="No"/>
    <s v="Agente de atención al cliente por chat"/>
    <n v="4222"/>
    <s v="Empleados de centros de llamadas"/>
  </r>
  <r>
    <n v="1118020225"/>
    <s v="Representante de atención al cliente"/>
    <s v="DECLARADA"/>
    <s v="habilidades para resolver problemas"/>
    <s v="resolver problemas"/>
    <x v="0"/>
    <s v="Pensamiento Analítico"/>
    <s v="No"/>
    <s v="Agente de atención al cliente por chat"/>
    <n v="4222"/>
    <s v="Empleados de centros de llamadas"/>
  </r>
  <r>
    <n v="1118020225"/>
    <s v="Representante de atención al cliente"/>
    <s v="IMPLÍCITA"/>
    <s v="Manejo de consultas por múltiples canales"/>
    <s v="atender consultas por email"/>
    <x v="4"/>
    <m/>
    <s v="No"/>
    <s v="Agente de atención al cliente por chat"/>
    <n v="4222"/>
    <s v="Empleados de centros de llamadas"/>
  </r>
  <r>
    <n v="1118020225"/>
    <s v="Representante de atención al cliente"/>
    <s v="IMPLÍCITA"/>
    <s v="Manejo de consultas por múltiples canales"/>
    <s v="atender consultas telefónicas"/>
    <x v="4"/>
    <m/>
    <s v="No"/>
    <s v="Agente de atención al cliente por chat"/>
    <n v="4222"/>
    <s v="Empleados de centros de llamadas"/>
  </r>
  <r>
    <n v="1118020225"/>
    <s v="Representante de atención al cliente"/>
    <s v="IMPLÍCITA"/>
    <s v="Fidelizar clientes"/>
    <s v="gestionar relaciones con clientes"/>
    <x v="4"/>
    <m/>
    <s v="No"/>
    <s v="Agente de atención al cliente por chat"/>
    <n v="4222"/>
    <s v="Empleados de centros de llamadas"/>
  </r>
  <r>
    <n v="1118020225"/>
    <s v="Representante de atención al cliente"/>
    <s v="IMPLÍCITA"/>
    <s v="Fidelizar clientes"/>
    <s v="generar vínculos comerciales"/>
    <x v="2"/>
    <m/>
    <s v="No"/>
    <s v="Agente de atención al cliente por chat"/>
    <n v="4222"/>
    <s v="Empleados de centros de llamadas"/>
  </r>
  <r>
    <n v="1118020225"/>
    <s v="Representante de atención al cliente"/>
    <s v="IMPLÍCITA"/>
    <s v="Detectar oportunidades de venta"/>
    <s v="identificar oportunidades cross-selling"/>
    <x v="2"/>
    <m/>
    <s v="No"/>
    <s v="Agente de atención al cliente por chat"/>
    <n v="4222"/>
    <s v="Empleados de centros de llamadas"/>
  </r>
  <r>
    <n v="1118020225"/>
    <s v="Representante de atención al cliente"/>
    <s v="IMPLÍCITA"/>
    <s v="Detectar oportunidades de venta"/>
    <s v="proponer soluciones adicionales"/>
    <x v="2"/>
    <m/>
    <s v="No"/>
    <s v="Agente de atención al cliente por chat"/>
    <n v="4222"/>
    <s v="Empleados de centros de llamadas"/>
  </r>
  <r>
    <n v="1118020225"/>
    <s v="Representante de atención al cliente"/>
    <s v="IMPLÍCITA"/>
    <s v="Colaborar con otras áreas"/>
    <s v="coordinar con equipos internos"/>
    <x v="0"/>
    <m/>
    <s v="No"/>
    <s v="Agente de atención al cliente por chat"/>
    <n v="4222"/>
    <s v="Empleados de centros de llamadas"/>
  </r>
  <r>
    <n v="1118020225"/>
    <s v="Representante de atención al cliente"/>
    <s v="IMPLÍCITA"/>
    <s v="Colaborar con otras áreas"/>
    <s v="escalar incidencias"/>
    <x v="2"/>
    <m/>
    <s v="No"/>
    <s v="Agente de atención al cliente por chat"/>
    <n v="4222"/>
    <s v="Empleados de centros de llamadas"/>
  </r>
  <r>
    <n v="1118020225"/>
    <s v="Representante de atención al cliente"/>
    <s v="IMPLÍCITA"/>
    <s v="Proponer mejoras en procesos"/>
    <s v="identificar oportunidades de mejora"/>
    <x v="1"/>
    <m/>
    <s v="No"/>
    <s v="Agente de atención al cliente por chat"/>
    <n v="4222"/>
    <s v="Empleados de centros de llamadas"/>
  </r>
  <r>
    <n v="1118020225"/>
    <s v="Representante de atención al cliente"/>
    <s v="IMPLÍCITA"/>
    <s v="Proponer mejoras en procesos"/>
    <s v="documentar feedback de clientes"/>
    <x v="2"/>
    <m/>
    <s v="No"/>
    <s v="Agente de atención al cliente por chat"/>
    <n v="4222"/>
    <s v="Empleados de centros de llamadas"/>
  </r>
  <r>
    <n v="1118022146"/>
    <s v="Community manager"/>
    <s v="DECLARADA"/>
    <s v="SEO"/>
    <s v="realizar SEO"/>
    <x v="2"/>
    <s v="Marketing Digital"/>
    <s v="Sí"/>
    <s v="Gestor de la información para las redes sociales"/>
    <n v="2432"/>
    <s v="Profesionales de relaciones públicas"/>
  </r>
  <r>
    <n v="1118022146"/>
    <s v="Community manager"/>
    <s v="DECLARADA"/>
    <s v="Google Ads"/>
    <s v="gestionar publicidad online"/>
    <x v="2"/>
    <s v="Marketing Digital"/>
    <s v="Sí"/>
    <s v="Gestor de la información para las redes sociales"/>
    <n v="2432"/>
    <s v="Profesionales de relaciones públicas"/>
  </r>
  <r>
    <n v="1118022146"/>
    <s v="Community manager"/>
    <s v="DECLARADA"/>
    <s v="Meta Ads"/>
    <s v="gestionar publicidad online"/>
    <x v="2"/>
    <s v="Marketing Digital"/>
    <s v="Sí"/>
    <s v="Gestor de la información para las redes sociales"/>
    <n v="2432"/>
    <s v="Profesionales de relaciones públicas"/>
  </r>
  <r>
    <n v="1118022146"/>
    <s v="Community manager"/>
    <s v="DECLARADA"/>
    <s v="creatividad"/>
    <s v="pensar creativamente"/>
    <x v="0"/>
    <s v="Creatividad"/>
    <s v="No"/>
    <s v="Gestor de la información para las redes sociales"/>
    <n v="2432"/>
    <s v="Profesionales de relaciones públicas"/>
  </r>
  <r>
    <n v="1118022146"/>
    <s v="Community manager"/>
    <s v="DECLARADA"/>
    <s v="atencion al detalle"/>
    <s v="prestar atención al detalle"/>
    <x v="0"/>
    <s v="Atención Detalle"/>
    <s v="No"/>
    <s v="Gestor de la información para las redes sociales"/>
    <n v="2432"/>
    <s v="Profesionales de relaciones públicas"/>
  </r>
  <r>
    <n v="1118022146"/>
    <s v="Community manager"/>
    <s v="DECLARADA"/>
    <s v="proactividad"/>
    <s v="mostrar iniciativa"/>
    <x v="0"/>
    <s v="Iniciativa"/>
    <s v="No"/>
    <s v="Gestor de la información para las redes sociales"/>
    <n v="2432"/>
    <s v="Profesionales de relaciones públicas"/>
  </r>
  <r>
    <n v="1118022146"/>
    <s v="Community manager"/>
    <s v="DECLARADA"/>
    <s v="TiendaNube"/>
    <s v="gestionar plataformas e-commerce"/>
    <x v="2"/>
    <s v="E-commerce"/>
    <s v="Sí"/>
    <s v="Gestor de la información para las redes sociales"/>
    <n v="2432"/>
    <s v="Profesionales de relaciones públicas"/>
  </r>
  <r>
    <n v="1118022146"/>
    <s v="Community manager"/>
    <s v="DECLARADA"/>
    <s v="Mercado Libre"/>
    <s v="gestionar plataformas e-commerce"/>
    <x v="2"/>
    <s v="E-commerce"/>
    <s v="Sí"/>
    <s v="Gestor de la información para las redes sociales"/>
    <n v="2432"/>
    <s v="Profesionales de relaciones públicas"/>
  </r>
  <r>
    <n v="1118022146"/>
    <s v="Community manager"/>
    <s v="DECLARADA"/>
    <s v="Shopify"/>
    <s v="gestionar plataformas e-commerce"/>
    <x v="2"/>
    <s v="E-commerce"/>
    <s v="Sí"/>
    <s v="Gestor de la información para las redes sociales"/>
    <n v="2432"/>
    <s v="Profesionales de relaciones públicas"/>
  </r>
  <r>
    <n v="1118022146"/>
    <s v="Community manager"/>
    <s v="DECLARADA"/>
    <s v="CapCut"/>
    <s v="utilizar software edición video"/>
    <x v="2"/>
    <s v="Edición Video"/>
    <s v="Sí"/>
    <s v="Gestor de la información para las redes sociales"/>
    <n v="2432"/>
    <s v="Profesionales de relaciones públicas"/>
  </r>
  <r>
    <n v="1118022146"/>
    <s v="Community manager"/>
    <s v="IMPLÍCITA"/>
    <s v="Desarrollar iniciativas de marketing"/>
    <s v="planificar estrategias de marketing digital"/>
    <x v="3"/>
    <m/>
    <s v="Sí"/>
    <s v="Gestor de la información para las redes sociales"/>
    <n v="2432"/>
    <s v="Profesionales de relaciones públicas"/>
  </r>
  <r>
    <n v="1118022146"/>
    <s v="Community manager"/>
    <s v="IMPLÍCITA"/>
    <s v="Desarrollar iniciativas de marketing"/>
    <s v="gestionar calendario de contenidos"/>
    <x v="3"/>
    <m/>
    <s v="Sí"/>
    <s v="Gestor de la información para las redes sociales"/>
    <n v="2432"/>
    <s v="Profesionales de relaciones públicas"/>
  </r>
  <r>
    <n v="1118022146"/>
    <s v="Community manager"/>
    <s v="IMPLÍCITA"/>
    <s v="Crear contenido para redes sociales"/>
    <s v="producir contenido audiovisual"/>
    <x v="3"/>
    <m/>
    <s v="Sí"/>
    <s v="Gestor de la información para las redes sociales"/>
    <n v="2432"/>
    <s v="Profesionales de relaciones públicas"/>
  </r>
  <r>
    <n v="1118022146"/>
    <s v="Community manager"/>
    <s v="IMPLÍCITA"/>
    <s v="Crear contenido para redes sociales"/>
    <s v="redactar copywriting"/>
    <x v="3"/>
    <m/>
    <s v="Sí"/>
    <s v="Gestor de la información para las redes sociales"/>
    <n v="2432"/>
    <s v="Profesionales de relaciones públicas"/>
  </r>
  <r>
    <n v="1118022146"/>
    <s v="Community manager"/>
    <s v="IMPLÍCITA"/>
    <s v="Crear contenido para redes sociales"/>
    <s v="editar videos"/>
    <x v="3"/>
    <m/>
    <s v="Sí"/>
    <s v="Gestor de la información para las redes sociales"/>
    <n v="2432"/>
    <s v="Profesionales de relaciones públicas"/>
  </r>
  <r>
    <n v="1118022146"/>
    <s v="Community manager"/>
    <s v="IMPLÍCITA"/>
    <s v="Responder mensajes en redes"/>
    <s v="gestionar comunidad online"/>
    <x v="3"/>
    <m/>
    <s v="Sí"/>
    <s v="Gestor de la información para las redes sociales"/>
    <n v="2432"/>
    <s v="Profesionales de relaciones públicas"/>
  </r>
  <r>
    <n v="1118022146"/>
    <s v="Community manager"/>
    <s v="IMPLÍCITA"/>
    <s v="Responder mensajes en redes"/>
    <s v="atender consultas digitales"/>
    <x v="3"/>
    <m/>
    <s v="Sí"/>
    <s v="Gestor de la información para las redes sociales"/>
    <n v="2432"/>
    <s v="Profesionales de relaciones públicas"/>
  </r>
  <r>
    <n v="1118022146"/>
    <s v="Community manager"/>
    <s v="IMPLÍCITA"/>
    <s v="Implementar campañas Meta/Google Ads"/>
    <s v="optimizar campañas publicitarias"/>
    <x v="3"/>
    <m/>
    <s v="Sí"/>
    <s v="Gestor de la información para las redes sociales"/>
    <n v="2432"/>
    <s v="Profesionales de relaciones públicas"/>
  </r>
  <r>
    <n v="1118022146"/>
    <s v="Community manager"/>
    <s v="IMPLÍCITA"/>
    <s v="Implementar campañas Meta/Google Ads"/>
    <s v="analizar métricas de campañas"/>
    <x v="3"/>
    <m/>
    <s v="Sí"/>
    <s v="Gestor de la información para las redes sociales"/>
    <n v="2432"/>
    <s v="Profesionales de relaciones públicas"/>
  </r>
  <r>
    <n v="1118022146"/>
    <s v="Community manager"/>
    <s v="IMPLÍCITA"/>
    <s v="Cargar productos en TiendaNube"/>
    <s v="optimizar fichas de productos"/>
    <x v="3"/>
    <m/>
    <s v="Sí"/>
    <s v="Gestor de la información para las redes sociales"/>
    <n v="2432"/>
    <s v="Profesionales de relaciones públicas"/>
  </r>
  <r>
    <n v="1118022146"/>
    <s v="Community manager"/>
    <s v="IMPLÍCITA"/>
    <s v="Gestionar CRM para clientes"/>
    <s v="utilizar software CRM"/>
    <x v="3"/>
    <m/>
    <s v="Sí"/>
    <s v="Gestor de la información para las redes sociales"/>
    <n v="2432"/>
    <s v="Profesionales de relaciones públicas"/>
  </r>
  <r>
    <n v="1118022146"/>
    <s v="Community manager"/>
    <s v="IMPLÍCITA"/>
    <s v="Gestionar CRM para clientes"/>
    <s v="segmentar base de clientes"/>
    <x v="3"/>
    <m/>
    <s v="Sí"/>
    <s v="Gestor de la información para las redes sociales"/>
    <n v="2432"/>
    <s v="Profesionales de relaciones públicas"/>
  </r>
  <r>
    <n v="1118022146"/>
    <s v="Community manager"/>
    <s v="IMPLÍCITA"/>
    <s v="Coordinar con influencers"/>
    <s v="gestionar relaciones con influencers"/>
    <x v="3"/>
    <m/>
    <s v="Sí"/>
    <s v="Gestor de la información para las redes sociales"/>
    <n v="2432"/>
    <s v="Profesionales de relaciones públicas"/>
  </r>
  <r>
    <n v="1118022146"/>
    <s v="Community manager"/>
    <s v="IMPLÍCITA"/>
    <s v="Coordinar con influencers"/>
    <s v="negociar colaboraciones"/>
    <x v="2"/>
    <m/>
    <s v="No"/>
    <s v="Gestor de la información para las redes sociales"/>
    <n v="2432"/>
    <s v="Profesionales de relaciones públicas"/>
  </r>
  <r>
    <n v="1118023904"/>
    <s v="Operario Picking"/>
    <s v="IMPLÍCITA"/>
    <s v="Picking con RF"/>
    <s v="operar terminales RF"/>
    <x v="3"/>
    <m/>
    <s v="Sí"/>
    <s v="Reponedor/reponedora"/>
    <n v="9334"/>
    <s v="Reponedores de estanterías"/>
  </r>
  <r>
    <n v="1118023904"/>
    <s v="Operario Picking"/>
    <s v="IMPLÍCITA"/>
    <s v="Picking con RF"/>
    <s v="localizar productos en almacén"/>
    <x v="2"/>
    <m/>
    <s v="No"/>
    <s v="Reponedor/reponedora"/>
    <n v="9334"/>
    <s v="Reponedores de estanterías"/>
  </r>
  <r>
    <n v="1118023904"/>
    <s v="Operario Picking"/>
    <s v="IMPLÍCITA"/>
    <s v="Carga y descarga de camiones"/>
    <s v="cargar y descargar mercadería"/>
    <x v="2"/>
    <m/>
    <s v="No"/>
    <s v="Reponedor/reponedora"/>
    <n v="9334"/>
    <s v="Reponedores de estanterías"/>
  </r>
  <r>
    <n v="1118023904"/>
    <s v="Operario Picking"/>
    <s v="IMPLÍCITA"/>
    <s v="Carga y descarga de camiones"/>
    <s v="manipular cargas pesadas"/>
    <x v="2"/>
    <m/>
    <s v="No"/>
    <s v="Reponedor/reponedora"/>
    <n v="9334"/>
    <s v="Reponedores de estanterías"/>
  </r>
  <r>
    <n v="1118023904"/>
    <s v="Operario Picking"/>
    <s v="IMPLÍCITA"/>
    <s v="Conteo de productos"/>
    <s v="realizar inventarios físicos"/>
    <x v="2"/>
    <m/>
    <s v="No"/>
    <s v="Reponedor/reponedora"/>
    <n v="9334"/>
    <s v="Reponedores de estanterías"/>
  </r>
  <r>
    <n v="1118023904"/>
    <s v="Operario Picking"/>
    <s v="IMPLÍCITA"/>
    <s v="Conteo de productos"/>
    <s v="verificar cantidades"/>
    <x v="2"/>
    <m/>
    <s v="No"/>
    <s v="Reponedor/reponedora"/>
    <n v="9334"/>
    <s v="Reponedores de estanterías"/>
  </r>
  <r>
    <n v="1118023904"/>
    <s v="Operario Picking"/>
    <s v="IMPLÍCITA"/>
    <s v="Armado de pedidos"/>
    <s v="preparar pedidos según orden"/>
    <x v="2"/>
    <m/>
    <s v="No"/>
    <s v="Reponedor/reponedora"/>
    <n v="9334"/>
    <s v="Reponedores de estanterías"/>
  </r>
  <r>
    <n v="1118023904"/>
    <s v="Operario Picking"/>
    <s v="IMPLÍCITA"/>
    <s v="Armado de pedidos"/>
    <s v="embalar productos"/>
    <x v="2"/>
    <m/>
    <s v="No"/>
    <s v="Reponedor/reponedora"/>
    <n v="9334"/>
    <s v="Reponedores de estanterías"/>
  </r>
  <r>
    <n v="1118025212"/>
    <s v="Representante Técnico/a Comercial"/>
    <s v="DECLARADA"/>
    <s v="vocación comercial"/>
    <s v="aplicar habilidades de venta"/>
    <x v="4"/>
    <s v="Orientación Cliente"/>
    <s v="No"/>
    <s v="Representante técnico de ventas de maquinaria agrícola"/>
    <n v="2433"/>
    <s v="Profesionales de ventas técnicas y médicas"/>
  </r>
  <r>
    <n v="1118025212"/>
    <s v="Representante Técnico/a Comercial"/>
    <s v="DECLARADA"/>
    <s v="orientación a resultados"/>
    <s v="orientación a resultados"/>
    <x v="0"/>
    <s v="Orientación Resultados"/>
    <s v="No"/>
    <s v="Representante técnico de ventas de maquinaria agrícola"/>
    <n v="2433"/>
    <s v="Profesionales de ventas técnicas y médicas"/>
  </r>
  <r>
    <n v="1118025212"/>
    <s v="Representante Técnico/a Comercial"/>
    <s v="IMPLÍCITA"/>
    <s v="Asesoramiento técnico a clientes"/>
    <s v="asesorar sobre productos agrícolas"/>
    <x v="2"/>
    <m/>
    <s v="No"/>
    <s v="Representante técnico de ventas de maquinaria agrícola"/>
    <n v="2433"/>
    <s v="Profesionales de ventas técnicas y médicas"/>
  </r>
  <r>
    <n v="1118025212"/>
    <s v="Representante Técnico/a Comercial"/>
    <s v="IMPLÍCITA"/>
    <s v="Asesoramiento técnico a clientes"/>
    <s v="realizar demostraciones técnicas"/>
    <x v="2"/>
    <m/>
    <s v="No"/>
    <s v="Representante técnico de ventas de maquinaria agrícola"/>
    <n v="2433"/>
    <s v="Profesionales de ventas técnicas y médicas"/>
  </r>
  <r>
    <n v="1118025212"/>
    <s v="Representante Técnico/a Comercial"/>
    <s v="IMPLÍCITA"/>
    <s v="Desarrollo de oportunidades de negocio"/>
    <s v="prospectar clientes agropecuarios"/>
    <x v="2"/>
    <m/>
    <s v="No"/>
    <s v="Representante técnico de ventas de maquinaria agrícola"/>
    <n v="2433"/>
    <s v="Profesionales de ventas técnicas y médicas"/>
  </r>
  <r>
    <n v="1118025212"/>
    <s v="Representante Técnico/a Comercial"/>
    <s v="IMPLÍCITA"/>
    <s v="Desarrollo de oportunidades de negocio"/>
    <s v="gestionar cartera de clientes"/>
    <x v="2"/>
    <m/>
    <s v="No"/>
    <s v="Representante técnico de ventas de maquinaria agrícola"/>
    <n v="2433"/>
    <s v="Profesionales de ventas técnicas y médicas"/>
  </r>
  <r>
    <n v="1118025956"/>
    <s v="Jardinero"/>
    <s v="IMPLÍCITA"/>
    <s v="Cuidado de plantas y flores"/>
    <s v="mantener jardines y plantas"/>
    <x v="2"/>
    <m/>
    <s v="No"/>
    <s v="Jardinero paisajista/jardinera paisajista"/>
    <n v="6113"/>
    <s v="Agricultores y trabajadores calificados de huertas"/>
  </r>
  <r>
    <n v="1118025956"/>
    <s v="Jardinero"/>
    <s v="IMPLÍCITA"/>
    <s v="Cuidado de plantas y flores"/>
    <s v="aplicar técnicas de poda"/>
    <x v="2"/>
    <m/>
    <s v="No"/>
    <s v="Jardinero paisajista/jardinera paisajista"/>
    <n v="6113"/>
    <s v="Agricultores y trabajadores calificados de huertas"/>
  </r>
  <r>
    <n v="1118025956"/>
    <s v="Jardinero"/>
    <s v="IMPLÍCITA"/>
    <s v="Cuidado de plantas y flores"/>
    <s v="regar plantas"/>
    <x v="2"/>
    <m/>
    <s v="No"/>
    <s v="Jardinero paisajista/jardinera paisajista"/>
    <n v="6113"/>
    <s v="Agricultores y trabajadores calificados de huertas"/>
  </r>
  <r>
    <n v="1118025956"/>
    <s v="Jardinero"/>
    <s v="IMPLÍCITA"/>
    <s v="Mantener orden de áreas verdes"/>
    <s v="limpiar áreas verdes"/>
    <x v="2"/>
    <m/>
    <s v="No"/>
    <s v="Jardinero paisajista/jardinera paisajista"/>
    <n v="6113"/>
    <s v="Agricultores y trabajadores calificados de huertas"/>
  </r>
  <r>
    <n v="1118025956"/>
    <s v="Jardinero"/>
    <s v="IMPLÍCITA"/>
    <s v="Mantener orden de áreas verdes"/>
    <s v="utilizar herramientas de jardinería"/>
    <x v="2"/>
    <m/>
    <s v="No"/>
    <s v="Jardinero paisajista/jardinera paisajista"/>
    <n v="6113"/>
    <s v="Agricultores y trabajadores calificados de huertas"/>
  </r>
  <r>
    <n v="1118026700"/>
    <s v="VENDEDOR DE REPUESTOS AUTOMOTOR"/>
    <s v="DECLARADA"/>
    <s v="paquete office"/>
    <s v="utilizar software ofimático"/>
    <x v="2"/>
    <s v="Software Ofimático"/>
    <s v="Sí"/>
    <s v="Vendedor de piezas de repuesto de automóviles"/>
    <n v="5223"/>
    <s v="Asistentes de venta de tiendas y almacenes"/>
  </r>
  <r>
    <n v="1118026700"/>
    <s v="VENDEDOR DE REPUESTOS AUTOMOTOR"/>
    <s v="DECLARADA"/>
    <s v="canales de venta online"/>
    <s v="gestionar canales venta online"/>
    <x v="2"/>
    <s v="E-commerce"/>
    <s v="Sí"/>
    <s v="Vendedor de piezas de repuesto de automóviles"/>
    <n v="5223"/>
    <s v="Asistentes de venta de tiendas y almacenes"/>
  </r>
  <r>
    <n v="1118026700"/>
    <s v="VENDEDOR DE REPUESTOS AUTOMOTOR"/>
    <s v="DECLARADA"/>
    <s v="computación en general"/>
    <s v="utilizar herramientas informáticas"/>
    <x v="2"/>
    <s v="Informática General"/>
    <s v="Sí"/>
    <s v="Vendedor de piezas de repuesto de automóviles"/>
    <n v="5223"/>
    <s v="Asistentes de venta de tiendas y almacenes"/>
  </r>
  <r>
    <n v="1118026700"/>
    <s v="VENDEDOR DE REPUESTOS AUTOMOTOR"/>
    <s v="DECLARADA"/>
    <s v="trabajo en equipo"/>
    <s v="trabajar en equipo"/>
    <x v="0"/>
    <s v="Colaboración"/>
    <s v="No"/>
    <s v="Vendedor de piezas de repuesto de automóviles"/>
    <n v="5223"/>
    <s v="Asistentes de venta de tiendas y almacenes"/>
  </r>
  <r>
    <n v="1118026700"/>
    <s v="VENDEDOR DE REPUESTOS AUTOMOTOR"/>
    <s v="DECLARADA"/>
    <s v="comunicacion"/>
    <s v="comunicarse eficazmente"/>
    <x v="0"/>
    <s v="Comunicación"/>
    <s v="No"/>
    <s v="Vendedor de piezas de repuesto de automóviles"/>
    <n v="5223"/>
    <s v="Asistentes de venta de tiendas y almacenes"/>
  </r>
  <r>
    <n v="1118026729"/>
    <s v="Responsable de Deposito"/>
    <s v="DECLARADA"/>
    <s v="inventarios"/>
    <s v="gestionar inventario"/>
    <x v="1"/>
    <s v="Gestión Logística"/>
    <s v="No"/>
    <s v="Encargado de relaciones públicas"/>
    <n v="2432"/>
    <s v="Profesionales de relaciones públicas"/>
  </r>
  <r>
    <n v="1118026729"/>
    <s v="Responsable de Deposito"/>
    <s v="DECLARADA"/>
    <s v="facturación"/>
    <s v="procesar facturas"/>
    <x v="1"/>
    <s v="Administración"/>
    <s v="No"/>
    <s v="Encargado de relaciones públicas"/>
    <n v="2432"/>
    <s v="Profesionales de relaciones públicas"/>
  </r>
  <r>
    <n v="1118026729"/>
    <s v="Responsable de Deposito"/>
    <s v="DECLARADA"/>
    <s v="cierres administrativos"/>
    <s v="realizar cierres contables"/>
    <x v="1"/>
    <s v="Administración"/>
    <s v="No"/>
    <s v="Encargado de relaciones públicas"/>
    <n v="2432"/>
    <s v="Profesionales de relaciones públicas"/>
  </r>
  <r>
    <n v="1118026729"/>
    <s v="Responsable de Deposito"/>
    <s v="DECLARADA"/>
    <s v="liderar y motivar equipos"/>
    <s v="liderar equipos"/>
    <x v="0"/>
    <s v="Liderazgo"/>
    <s v="No"/>
    <s v="Encargado de relaciones públicas"/>
    <n v="2432"/>
    <s v="Profesionales de relaciones públicas"/>
  </r>
  <r>
    <n v="1118026729"/>
    <s v="Responsable de Deposito"/>
    <s v="DECLARADA"/>
    <s v="buenas capacidades de comunicación"/>
    <s v="comunicarse eficazmente"/>
    <x v="0"/>
    <s v="Comunicación"/>
    <s v="No"/>
    <s v="Encargado de relaciones públicas"/>
    <n v="2432"/>
    <s v="Profesionales de relaciones públicas"/>
  </r>
  <r>
    <n v="1118026729"/>
    <s v="Responsable de Deposito"/>
    <s v="DECLARADA"/>
    <s v="autogestivo"/>
    <s v="trabajar autónomamente"/>
    <x v="0"/>
    <s v="Autonomía"/>
    <s v="No"/>
    <s v="Encargado de relaciones públicas"/>
    <n v="2432"/>
    <s v="Profesionales de relaciones públicas"/>
  </r>
  <r>
    <n v="1118026729"/>
    <s v="Responsable de Deposito"/>
    <s v="IMPLÍCITA"/>
    <s v="Organización integral del depósito"/>
    <s v="gestionar operaciones de almacén"/>
    <x v="1"/>
    <m/>
    <s v="No"/>
    <s v="Encargado de relaciones públicas"/>
    <n v="2432"/>
    <s v="Profesionales de relaciones públicas"/>
  </r>
  <r>
    <n v="1118026729"/>
    <s v="Responsable de Deposito"/>
    <s v="IMPLÍCITA"/>
    <s v="Organización integral del depósito"/>
    <s v="organizar el espacio de trabajo"/>
    <x v="2"/>
    <m/>
    <s v="No"/>
    <s v="Encargado de relaciones públicas"/>
    <n v="2432"/>
    <s v="Profesionales de relaciones públicas"/>
  </r>
  <r>
    <n v="1118026729"/>
    <s v="Responsable de Deposito"/>
    <s v="IMPLÍCITA"/>
    <s v="Control de inventarios y manejo de stocks"/>
    <s v="utilizar sistemas de gestión de almacenes"/>
    <x v="3"/>
    <m/>
    <s v="Sí"/>
    <s v="Encargado de relaciones públicas"/>
    <n v="2432"/>
    <s v="Profesionales de relaciones públicas"/>
  </r>
  <r>
    <n v="1118026729"/>
    <s v="Responsable de Deposito"/>
    <s v="IMPLÍCITA"/>
    <s v="Control de inventarios y manejo de stocks"/>
    <s v="realizar control de existencias"/>
    <x v="2"/>
    <m/>
    <s v="No"/>
    <s v="Encargado de relaciones públicas"/>
    <n v="2432"/>
    <s v="Profesionales de relaciones públicas"/>
  </r>
  <r>
    <n v="1118026729"/>
    <s v="Responsable de Deposito"/>
    <s v="IMPLÍCITA"/>
    <s v="Cierres de caja, conciliaciones bancarias, pagos"/>
    <s v="realizar conciliaciones bancarias"/>
    <x v="2"/>
    <m/>
    <s v="No"/>
    <s v="Encargado de relaciones públicas"/>
    <n v="2432"/>
    <s v="Profesionales de relaciones públicas"/>
  </r>
  <r>
    <n v="1118026729"/>
    <s v="Responsable de Deposito"/>
    <s v="IMPLÍCITA"/>
    <s v="Cierres de caja, conciliaciones bancarias, pagos"/>
    <s v="gestionar pagos"/>
    <x v="2"/>
    <m/>
    <s v="No"/>
    <s v="Encargado de relaciones públicas"/>
    <n v="2432"/>
    <s v="Profesionales de relaciones públicas"/>
  </r>
  <r>
    <n v="1118026729"/>
    <s v="Responsable de Deposito"/>
    <s v="IMPLÍCITA"/>
    <s v="Cierres de caja, conciliaciones bancarias, pagos"/>
    <s v="utilizar software de hojas de cálculo"/>
    <x v="3"/>
    <m/>
    <s v="Sí"/>
    <s v="Encargado de relaciones públicas"/>
    <n v="2432"/>
    <s v="Profesionales de relaciones públicas"/>
  </r>
  <r>
    <n v="1118026729"/>
    <s v="Responsable de Deposito"/>
    <s v="IMPLÍCITA"/>
    <s v="Gestión de facturación y documentación comercial"/>
    <s v="gestionar documentación comercial"/>
    <x v="2"/>
    <m/>
    <s v="No"/>
    <s v="Encargado de relaciones públicas"/>
    <n v="2432"/>
    <s v="Profesionales de relaciones públicas"/>
  </r>
  <r>
    <n v="1118026729"/>
    <s v="Responsable de Deposito"/>
    <s v="IMPLÍCITA"/>
    <s v="Gestión de facturación y documentación comercial"/>
    <s v="utilizar sistemas ERP"/>
    <x v="3"/>
    <m/>
    <s v="Sí"/>
    <s v="Encargado de relaciones públicas"/>
    <n v="2432"/>
    <s v="Profesionales de relaciones públicas"/>
  </r>
  <r>
    <n v="1118026729"/>
    <s v="Responsable de Deposito"/>
    <s v="IMPLÍCITA"/>
    <s v="Coordinación y liderazgo del equipo operativo"/>
    <s v="coordinar actividades de equipo"/>
    <x v="1"/>
    <m/>
    <s v="No"/>
    <s v="Encargado de relaciones públicas"/>
    <n v="2432"/>
    <s v="Profesionales de relaciones públicas"/>
  </r>
  <r>
    <n v="1118026729"/>
    <s v="Responsable de Deposito"/>
    <s v="IMPLÍCITA"/>
    <s v="Coordinación y liderazgo del equipo operativo"/>
    <s v="delegar tareas"/>
    <x v="1"/>
    <m/>
    <s v="No"/>
    <s v="Encargado de relaciones públicas"/>
    <n v="2432"/>
    <s v="Profesionales de relaciones públicas"/>
  </r>
  <r>
    <n v="1118026729"/>
    <s v="Responsable de Deposito"/>
    <s v="IMPLÍCITA"/>
    <s v="Entrega de mercadería y coordinación con RRHH"/>
    <s v="coordinar logística de entregas"/>
    <x v="2"/>
    <m/>
    <s v="No"/>
    <s v="Encargado de relaciones públicas"/>
    <n v="2432"/>
    <s v="Profesionales de relaciones públicas"/>
  </r>
  <r>
    <n v="1118026729"/>
    <s v="Responsable de Deposito"/>
    <s v="IMPLÍCITA"/>
    <s v="Entrega de mercadería y coordinación con RRHH"/>
    <s v="colaborar con recursos humanos"/>
    <x v="1"/>
    <m/>
    <s v="No"/>
    <s v="Encargado de relaciones públicas"/>
    <n v="2432"/>
    <s v="Profesionales de relaciones públicas"/>
  </r>
  <r>
    <n v="1118026729"/>
    <s v="Responsable de Deposito"/>
    <s v="IMPLÍCITA"/>
    <s v="Comunicación directa con directivos extranjeros"/>
    <s v="comunicarse en portugués"/>
    <x v="6"/>
    <m/>
    <s v="No"/>
    <s v="Encargado de relaciones públicas"/>
    <n v="2432"/>
    <s v="Profesionales de relaciones públicas"/>
  </r>
  <r>
    <n v="1118026729"/>
    <s v="Responsable de Deposito"/>
    <s v="IMPLÍCITA"/>
    <s v="Comunicación directa con directivos extranjeros"/>
    <s v="elaborar informes de gestión"/>
    <x v="2"/>
    <m/>
    <s v="No"/>
    <s v="Encargado de relaciones públicas"/>
    <n v="2432"/>
    <s v="Profesionales de relaciones públicas"/>
  </r>
  <r>
    <n v="1118027261"/>
    <s v="Supervisor de Limpieza"/>
    <s v="DECLARADA"/>
    <s v="paquete office"/>
    <s v="utilizar software ofimático"/>
    <x v="2"/>
    <s v="Software Ofimático"/>
    <s v="Sí"/>
    <s v="Supervisor de servicio de limpieza"/>
    <n v="5151"/>
    <s v="Supervisores de mantenimiento y limpieza"/>
  </r>
  <r>
    <n v="1118027261"/>
    <s v="Supervisor de Limpieza"/>
    <s v="IMPLÍCITA"/>
    <s v="Coordinar y supervisar tareas de limpieza"/>
    <s v="supervisar personal"/>
    <x v="1"/>
    <m/>
    <s v="No"/>
    <s v="Supervisor de servicio de limpieza"/>
    <n v="5151"/>
    <s v="Supervisores de mantenimiento y limpieza"/>
  </r>
  <r>
    <n v="1118027261"/>
    <s v="Supervisor de Limpieza"/>
    <s v="IMPLÍCITA"/>
    <s v="Coordinar y supervisar tareas de limpieza"/>
    <s v="controlar calidad del trabajo"/>
    <x v="1"/>
    <m/>
    <s v="No"/>
    <s v="Supervisor de servicio de limpieza"/>
    <n v="5151"/>
    <s v="Supervisores de mantenimiento y limpieza"/>
  </r>
  <r>
    <n v="1118027261"/>
    <s v="Supervisor de Limpieza"/>
    <s v="IMPLÍCITA"/>
    <s v="Coordinar y supervisar tareas de limpieza"/>
    <s v="aplicar técnicas de limpieza"/>
    <x v="2"/>
    <m/>
    <s v="No"/>
    <s v="Supervisor de servicio de limpieza"/>
    <n v="5151"/>
    <s v="Supervisores de mantenimiento y limpieza"/>
  </r>
  <r>
    <n v="1118027261"/>
    <s v="Supervisor de Limpieza"/>
    <s v="IMPLÍCITA"/>
    <s v="Planificar cronograma de trabajo"/>
    <s v="planificar horarios de trabajo"/>
    <x v="1"/>
    <m/>
    <s v="No"/>
    <s v="Supervisor de servicio de limpieza"/>
    <n v="5151"/>
    <s v="Supervisores de mantenimiento y limpieza"/>
  </r>
  <r>
    <n v="1118027261"/>
    <s v="Supervisor de Limpieza"/>
    <s v="IMPLÍCITA"/>
    <s v="Planificar cronograma de trabajo"/>
    <s v="gestionar el tiempo"/>
    <x v="0"/>
    <m/>
    <s v="No"/>
    <s v="Supervisor de servicio de limpieza"/>
    <n v="5151"/>
    <s v="Supervisores de mantenimiento y limpieza"/>
  </r>
  <r>
    <n v="1118027261"/>
    <s v="Supervisor de Limpieza"/>
    <s v="IMPLÍCITA"/>
    <s v="Planificar cronograma de trabajo"/>
    <s v="utilizar software de planificación"/>
    <x v="3"/>
    <m/>
    <s v="Sí"/>
    <s v="Supervisor de servicio de limpieza"/>
    <n v="5151"/>
    <s v="Supervisores de mantenimiento y limpieza"/>
  </r>
  <r>
    <n v="1118027261"/>
    <s v="Supervisor de Limpieza"/>
    <s v="IMPLÍCITA"/>
    <s v="Asignar tareas y controlar desempeño"/>
    <s v="evaluar desempeño de empleados"/>
    <x v="1"/>
    <m/>
    <s v="No"/>
    <s v="Supervisor de servicio de limpieza"/>
    <n v="5151"/>
    <s v="Supervisores de mantenimiento y limpieza"/>
  </r>
  <r>
    <n v="1118027261"/>
    <s v="Supervisor de Limpieza"/>
    <s v="IMPLÍCITA"/>
    <s v="Asignar tareas y controlar desempeño"/>
    <s v="delegar tareas"/>
    <x v="1"/>
    <m/>
    <s v="No"/>
    <s v="Supervisor de servicio de limpieza"/>
    <n v="5151"/>
    <s v="Supervisores de mantenimiento y limpieza"/>
  </r>
  <r>
    <n v="1118027261"/>
    <s v="Supervisor de Limpieza"/>
    <s v="IMPLÍCITA"/>
    <s v="Asignar tareas y controlar desempeño"/>
    <s v="dar retroalimentación constructiva"/>
    <x v="0"/>
    <m/>
    <s v="No"/>
    <s v="Supervisor de servicio de limpieza"/>
    <n v="5151"/>
    <s v="Supervisores de mantenimiento y limpieza"/>
  </r>
  <r>
    <n v="1118027261"/>
    <s v="Supervisor de Limpieza"/>
    <s v="IMPLÍCITA"/>
    <s v="Control de inventario de insumos"/>
    <s v="gestionar inventario de insumos"/>
    <x v="2"/>
    <m/>
    <s v="No"/>
    <s v="Supervisor de servicio de limpieza"/>
    <n v="5151"/>
    <s v="Supervisores de mantenimiento y limpieza"/>
  </r>
  <r>
    <n v="1118027261"/>
    <s v="Supervisor de Limpieza"/>
    <s v="IMPLÍCITA"/>
    <s v="Control de inventario de insumos"/>
    <s v="controlar consumo de materiales"/>
    <x v="2"/>
    <m/>
    <s v="No"/>
    <s v="Supervisor de servicio de limpieza"/>
    <n v="5151"/>
    <s v="Supervisores de mantenimiento y limpieza"/>
  </r>
  <r>
    <n v="1118027261"/>
    <s v="Supervisor de Limpieza"/>
    <s v="IMPLÍCITA"/>
    <s v="Control de inventario de insumos"/>
    <s v="realizar pedidos de suministros"/>
    <x v="2"/>
    <m/>
    <s v="No"/>
    <s v="Supervisor de servicio de limpieza"/>
    <n v="5151"/>
    <s v="Supervisores de mantenimiento y limpieza"/>
  </r>
  <r>
    <n v="1118027261"/>
    <s v="Supervisor de Limpieza"/>
    <s v="IMPLÍCITA"/>
    <s v="Capacitar al equipo en protocolos y seguridad"/>
    <s v="capacitar personal"/>
    <x v="1"/>
    <m/>
    <s v="No"/>
    <s v="Supervisor de servicio de limpieza"/>
    <n v="5151"/>
    <s v="Supervisores de mantenimiento y limpieza"/>
  </r>
  <r>
    <n v="1118027261"/>
    <s v="Supervisor de Limpieza"/>
    <s v="IMPLÍCITA"/>
    <s v="Capacitar al equipo en protocolos y seguridad"/>
    <s v="aplicar normas de seguridad e higiene"/>
    <x v="2"/>
    <m/>
    <s v="No"/>
    <s v="Supervisor de servicio de limpieza"/>
    <n v="5151"/>
    <s v="Supervisores de mantenimiento y limpieza"/>
  </r>
  <r>
    <n v="1118027261"/>
    <s v="Supervisor de Limpieza"/>
    <s v="IMPLÍCITA"/>
    <s v="Capacitar al equipo en protocolos y seguridad"/>
    <s v="comunicar procedimientos operativos"/>
    <x v="0"/>
    <m/>
    <s v="No"/>
    <s v="Supervisor de servicio de limpieza"/>
    <n v="5151"/>
    <s v="Supervisores de mantenimiento y limpieza"/>
  </r>
  <r>
    <n v="1118027276"/>
    <s v="Ejecutivo de Cuentas SSR/SR"/>
    <s v="DECLARADA"/>
    <s v="CRM"/>
    <s v="utilizar software CRM"/>
    <x v="2"/>
    <s v="Sistemas CRM"/>
    <s v="Sí"/>
    <s v="Técnico de contadores eléctricos"/>
    <n v="7411"/>
    <s v="Electricistas de obras y afines"/>
  </r>
  <r>
    <n v="1118027276"/>
    <s v="Ejecutivo de Cuentas SSR/SR"/>
    <s v="DECLARADA"/>
    <s v="Táctica Soft"/>
    <s v="utilizar software CRM"/>
    <x v="2"/>
    <s v="Sistemas CRM"/>
    <s v="Sí"/>
    <s v="Técnico de contadores eléctricos"/>
    <n v="7411"/>
    <s v="Electricistas de obras y afines"/>
  </r>
  <r>
    <n v="1118027276"/>
    <s v="Ejecutivo de Cuentas SSR/SR"/>
    <s v="DECLARADA"/>
    <s v="comunicación"/>
    <s v="comunicarse eficazmente"/>
    <x v="0"/>
    <s v="Comunicación"/>
    <s v="No"/>
    <s v="Técnico de contadores eléctricos"/>
    <n v="7411"/>
    <s v="Electricistas de obras y afines"/>
  </r>
  <r>
    <n v="1118027276"/>
    <s v="Ejecutivo de Cuentas SSR/SR"/>
    <s v="DECLARADA"/>
    <s v="autonomía"/>
    <s v="trabajar autónomamente"/>
    <x v="0"/>
    <s v="Autonomía"/>
    <s v="No"/>
    <s v="Técnico de contadores eléctricos"/>
    <n v="7411"/>
    <s v="Electricistas de obras y afines"/>
  </r>
  <r>
    <n v="1118027276"/>
    <s v="Ejecutivo de Cuentas SSR/SR"/>
    <s v="IMPLÍCITA"/>
    <s v="Prospección activa de clientes industriales"/>
    <s v="identificar clientes potenciales"/>
    <x v="2"/>
    <m/>
    <s v="No"/>
    <s v="Técnico de contadores eléctricos"/>
    <n v="7411"/>
    <s v="Electricistas de obras y afines"/>
  </r>
  <r>
    <n v="1118027276"/>
    <s v="Ejecutivo de Cuentas SSR/SR"/>
    <s v="IMPLÍCITA"/>
    <s v="Prospección activa de clientes industriales"/>
    <s v="realizar llamadas en frío"/>
    <x v="2"/>
    <m/>
    <s v="No"/>
    <s v="Técnico de contadores eléctricos"/>
    <n v="7411"/>
    <s v="Electricistas de obras y afines"/>
  </r>
  <r>
    <n v="1118027276"/>
    <s v="Ejecutivo de Cuentas SSR/SR"/>
    <s v="IMPLÍCITA"/>
    <s v="Prospección activa de clientes industriales"/>
    <s v="investigar mercado industrial"/>
    <x v="2"/>
    <m/>
    <s v="No"/>
    <s v="Técnico de contadores eléctricos"/>
    <n v="7411"/>
    <s v="Electricistas de obras y afines"/>
  </r>
  <r>
    <n v="1118027276"/>
    <s v="Ejecutivo de Cuentas SSR/SR"/>
    <s v="IMPLÍCITA"/>
    <s v="Generación de oportunidades de venta"/>
    <s v="aplicar estrategias de ventas B2B"/>
    <x v="2"/>
    <m/>
    <s v="No"/>
    <s v="Técnico de contadores eléctricos"/>
    <n v="7411"/>
    <s v="Electricistas de obras y afines"/>
  </r>
  <r>
    <n v="1118027276"/>
    <s v="Ejecutivo de Cuentas SSR/SR"/>
    <s v="IMPLÍCITA"/>
    <s v="Generación de oportunidades de venta"/>
    <s v="identificar necesidades del cliente"/>
    <x v="2"/>
    <m/>
    <s v="No"/>
    <s v="Técnico de contadores eléctricos"/>
    <n v="7411"/>
    <s v="Electricistas de obras y afines"/>
  </r>
  <r>
    <n v="1118027276"/>
    <s v="Ejecutivo de Cuentas SSR/SR"/>
    <s v="IMPLÍCITA"/>
    <s v="Generación de oportunidades de venta"/>
    <s v="presentar propuestas comerciales"/>
    <x v="2"/>
    <m/>
    <s v="No"/>
    <s v="Técnico de contadores eléctricos"/>
    <n v="7411"/>
    <s v="Electricistas de obras y afines"/>
  </r>
  <r>
    <n v="1118027276"/>
    <s v="Ejecutivo de Cuentas SSR/SR"/>
    <s v="IMPLÍCITA"/>
    <s v="Seguimiento del pipeline y actualización del CRM"/>
    <s v="gestionar pipeline de ventas"/>
    <x v="2"/>
    <m/>
    <s v="No"/>
    <s v="Técnico de contadores eléctricos"/>
    <n v="7411"/>
    <s v="Electricistas de obras y afines"/>
  </r>
  <r>
    <n v="1118027276"/>
    <s v="Ejecutivo de Cuentas SSR/SR"/>
    <s v="IMPLÍCITA"/>
    <s v="Seguimiento del pipeline y actualización del CRM"/>
    <s v="registrar actividades comerciales"/>
    <x v="2"/>
    <m/>
    <s v="No"/>
    <s v="Técnico de contadores eléctricos"/>
    <n v="7411"/>
    <s v="Electricistas de obras y afines"/>
  </r>
  <r>
    <n v="1118027276"/>
    <s v="Ejecutivo de Cuentas SSR/SR"/>
    <s v="IMPLÍCITA"/>
    <s v="Armado de propuestas técnico-comerciales"/>
    <s v="elaborar propuestas comerciales"/>
    <x v="2"/>
    <m/>
    <s v="No"/>
    <s v="Técnico de contadores eléctricos"/>
    <n v="7411"/>
    <s v="Electricistas de obras y afines"/>
  </r>
  <r>
    <n v="1118027276"/>
    <s v="Ejecutivo de Cuentas SSR/SR"/>
    <s v="IMPLÍCITA"/>
    <s v="Armado de propuestas técnico-comerciales"/>
    <s v="utilizar software de presentaciones"/>
    <x v="3"/>
    <m/>
    <s v="Sí"/>
    <s v="Técnico de contadores eléctricos"/>
    <n v="7411"/>
    <s v="Electricistas de obras y afines"/>
  </r>
  <r>
    <n v="1118027276"/>
    <s v="Ejecutivo de Cuentas SSR/SR"/>
    <s v="IMPLÍCITA"/>
    <s v="Armado de propuestas técnico-comerciales"/>
    <s v="calcular presupuestos"/>
    <x v="2"/>
    <m/>
    <s v="No"/>
    <s v="Técnico de contadores eléctricos"/>
    <n v="7411"/>
    <s v="Electricistas de obras y afines"/>
  </r>
  <r>
    <n v="1118027276"/>
    <s v="Ejecutivo de Cuentas SSR/SR"/>
    <s v="IMPLÍCITA"/>
    <s v="Coordinación con áreas técnicas"/>
    <s v="colaborar con equipos técnicos"/>
    <x v="0"/>
    <m/>
    <s v="No"/>
    <s v="Técnico de contadores eléctricos"/>
    <n v="7411"/>
    <s v="Electricistas de obras y afines"/>
  </r>
  <r>
    <n v="1118027276"/>
    <s v="Ejecutivo de Cuentas SSR/SR"/>
    <s v="IMPLÍCITA"/>
    <s v="Coordinación con áreas técnicas"/>
    <s v="diseñar soluciones personalizadas"/>
    <x v="2"/>
    <m/>
    <s v="No"/>
    <s v="Técnico de contadores eléctricos"/>
    <n v="7411"/>
    <s v="Electricistas de obras y afines"/>
  </r>
  <r>
    <n v="1118027276"/>
    <s v="Ejecutivo de Cuentas SSR/SR"/>
    <s v="IMPLÍCITA"/>
    <s v="Cumplimiento de objetivos mensuales"/>
    <s v="gestionar objetivos de ventas"/>
    <x v="1"/>
    <m/>
    <s v="No"/>
    <s v="Técnico de contadores eléctricos"/>
    <n v="7411"/>
    <s v="Electricistas de obras y afines"/>
  </r>
  <r>
    <n v="1118027276"/>
    <s v="Ejecutivo de Cuentas SSR/SR"/>
    <s v="IMPLÍCITA"/>
    <s v="Cumplimiento de objetivos mensuales"/>
    <s v="aplicar técnicas de cierre de ventas"/>
    <x v="2"/>
    <m/>
    <s v="No"/>
    <s v="Técnico de contadores eléctricos"/>
    <n v="7411"/>
    <s v="Electricistas de obras y afines"/>
  </r>
  <r>
    <n v="1118027276"/>
    <s v="Ejecutivo de Cuentas SSR/SR"/>
    <s v="IMPLÍCITA"/>
    <s v="Cumplimiento de objetivos mensuales"/>
    <s v="trabajar bajo presión"/>
    <x v="0"/>
    <m/>
    <s v="No"/>
    <s v="Técnico de contadores eléctricos"/>
    <n v="7411"/>
    <s v="Electricistas de obras y afines"/>
  </r>
  <r>
    <n v="1118027276"/>
    <s v="Ejecutivo de Cuentas SSR/SR"/>
    <s v="IMPLÍCITA"/>
    <s v="Desarrollo de relaciones con cuentas claves"/>
    <s v="gestionar relaciones con clientes"/>
    <x v="2"/>
    <m/>
    <s v="No"/>
    <s v="Técnico de contadores eléctricos"/>
    <n v="7411"/>
    <s v="Electricistas de obras y afines"/>
  </r>
  <r>
    <n v="1118027276"/>
    <s v="Ejecutivo de Cuentas SSR/SR"/>
    <s v="IMPLÍCITA"/>
    <s v="Desarrollo de relaciones con cuentas claves"/>
    <s v="fidelizar clientes corporativos"/>
    <x v="2"/>
    <m/>
    <s v="No"/>
    <s v="Técnico de contadores eléctricos"/>
    <n v="7411"/>
    <s v="Electricistas de obras y afines"/>
  </r>
  <r>
    <n v="1118027276"/>
    <s v="Ejecutivo de Cuentas SSR/SR"/>
    <s v="IMPLÍCITA"/>
    <s v="Desarrollo de relaciones con cuentas claves"/>
    <s v="negociar condiciones comerciales"/>
    <x v="2"/>
    <m/>
    <s v="No"/>
    <s v="Técnico de contadores eléctricos"/>
    <n v="7411"/>
    <s v="Electricistas de obras y afines"/>
  </r>
  <r>
    <n v="1118027662"/>
    <s v="Farmacéutico/a para farmacias en Rio Cuarto"/>
    <s v="DECLARADA"/>
    <s v="vocación de servicio"/>
    <s v="prestar atención al cliente"/>
    <x v="4"/>
    <s v="Orientación Cliente"/>
    <s v="No"/>
    <s v="Farmacéutico/farmacéutica"/>
    <n v="2262"/>
    <s v="Farmacéuticos"/>
  </r>
  <r>
    <n v="1118027662"/>
    <s v="Farmacéutico/a para farmacias en Rio Cuarto"/>
    <s v="DECLARADA"/>
    <s v="compromiso con la excelencia y el cuidado del paciente"/>
    <s v="prestar atención al paciente"/>
    <x v="4"/>
    <s v="Atención Paciente"/>
    <s v="No"/>
    <s v="Farmacéutico/farmacéutica"/>
    <n v="2262"/>
    <s v="Farmacéuticos"/>
  </r>
  <r>
    <n v="1118027662"/>
    <s v="Farmacéutico/a para farmacias en Rio Cuarto"/>
    <s v="IMPLÍCITA"/>
    <s v="Dispensa de medicamentos"/>
    <s v="dispensar medicamentos"/>
    <x v="2"/>
    <m/>
    <s v="No"/>
    <s v="Farmacéutico/farmacéutica"/>
    <n v="2262"/>
    <s v="Farmacéuticos"/>
  </r>
  <r>
    <n v="1118027662"/>
    <s v="Farmacéutico/a para farmacias en Rio Cuarto"/>
    <s v="IMPLÍCITA"/>
    <s v="Dispensa de medicamentos"/>
    <s v="asesorar sobre uso de medicamentos"/>
    <x v="2"/>
    <m/>
    <s v="No"/>
    <s v="Farmacéutico/farmacéutica"/>
    <n v="2262"/>
    <s v="Farmacéuticos"/>
  </r>
  <r>
    <n v="1118027662"/>
    <s v="Farmacéutico/a para farmacias en Rio Cuarto"/>
    <s v="IMPLÍCITA"/>
    <s v="Dispensa de medicamentos"/>
    <s v="verificar recetas médicas"/>
    <x v="2"/>
    <m/>
    <s v="No"/>
    <s v="Farmacéutico/farmacéutica"/>
    <n v="2262"/>
    <s v="Farmacéuticos"/>
  </r>
  <r>
    <n v="1118027662"/>
    <s v="Farmacéutico/a para farmacias en Rio Cuarto"/>
    <s v="IMPLÍCITA"/>
    <s v="Dispensa de medicamentos"/>
    <s v="aplicar normativas farmacéuticas"/>
    <x v="2"/>
    <m/>
    <s v="No"/>
    <s v="Farmacéutico/farmacéutica"/>
    <n v="2262"/>
    <s v="Farmacéuticos"/>
  </r>
  <r>
    <n v="1118027662"/>
    <s v="Farmacéutico/a para farmacias en Rio Cuarto"/>
    <s v="IMPLÍCITA"/>
    <s v="Control y orden de stock"/>
    <s v="gestionar inventario farmacéutico"/>
    <x v="2"/>
    <m/>
    <s v="No"/>
    <s v="Farmacéutico/farmacéutica"/>
    <n v="2262"/>
    <s v="Farmacéuticos"/>
  </r>
  <r>
    <n v="1118027662"/>
    <s v="Farmacéutico/a para farmacias en Rio Cuarto"/>
    <s v="IMPLÍCITA"/>
    <s v="Control y orden de stock"/>
    <s v="controlar fechas de vencimiento"/>
    <x v="2"/>
    <m/>
    <s v="No"/>
    <s v="Farmacéutico/farmacéutica"/>
    <n v="2262"/>
    <s v="Farmacéuticos"/>
  </r>
  <r>
    <n v="1118027662"/>
    <s v="Farmacéutico/a para farmacias en Rio Cuarto"/>
    <s v="IMPLÍCITA"/>
    <s v="Control y orden de stock"/>
    <s v="realizar pedidos a proveedores"/>
    <x v="2"/>
    <m/>
    <s v="No"/>
    <s v="Farmacéutico/farmacéutica"/>
    <n v="2262"/>
    <s v="Farmacéuticos"/>
  </r>
  <r>
    <n v="1118027662"/>
    <s v="Farmacéutico/a para farmacias en Rio Cuarto"/>
    <s v="IMPLÍCITA"/>
    <s v="Campañas de vacunación"/>
    <s v="administrar vacunas"/>
    <x v="2"/>
    <m/>
    <s v="No"/>
    <s v="Farmacéutico/farmacéutica"/>
    <n v="2262"/>
    <s v="Farmacéuticos"/>
  </r>
  <r>
    <n v="1118027662"/>
    <s v="Farmacéutico/a para farmacias en Rio Cuarto"/>
    <s v="IMPLÍCITA"/>
    <s v="Campañas de vacunación"/>
    <s v="educar sobre salud pública"/>
    <x v="2"/>
    <m/>
    <s v="No"/>
    <s v="Farmacéutico/farmacéutica"/>
    <n v="2262"/>
    <s v="Farmacéuticos"/>
  </r>
  <r>
    <n v="1118027662"/>
    <s v="Farmacéutico/a para farmacias en Rio Cuarto"/>
    <s v="IMPLÍCITA"/>
    <s v="Campañas de vacunación"/>
    <s v="registrar aplicaciones de vacunas"/>
    <x v="2"/>
    <m/>
    <s v="No"/>
    <s v="Farmacéutico/farmacéutica"/>
    <n v="2262"/>
    <s v="Farmacéuticos"/>
  </r>
  <r>
    <n v="1118027834"/>
    <s v="Vendedora Digital / Atención al Cliente"/>
    <s v="DECLARADA"/>
    <s v="herramientas informáticas"/>
    <s v="utilizar herramientas informáticas"/>
    <x v="2"/>
    <s v="Informática General"/>
    <s v="Sí"/>
    <s v="Vendedor especializado/vendedora especializada"/>
    <n v="5223"/>
    <s v="Asistentes de venta de tiendas y almacenes"/>
  </r>
  <r>
    <n v="1118027834"/>
    <s v="Vendedora Digital / Atención al Cliente"/>
    <s v="DECLARADA"/>
    <s v="sistema CRM"/>
    <s v="utilizar software CRM"/>
    <x v="2"/>
    <s v="Sistemas CRM"/>
    <s v="Sí"/>
    <s v="Vendedor especializado/vendedora especializada"/>
    <n v="5223"/>
    <s v="Asistentes de venta de tiendas y almacenes"/>
  </r>
  <r>
    <n v="1118027834"/>
    <s v="Vendedora Digital / Atención al Cliente"/>
    <s v="DECLARADA"/>
    <s v="comunicación"/>
    <s v="comunicarse eficazmente"/>
    <x v="0"/>
    <s v="Comunicación"/>
    <s v="No"/>
    <s v="Vendedor especializado/vendedora especializada"/>
    <n v="5223"/>
    <s v="Asistentes de venta de tiendas y almacenes"/>
  </r>
  <r>
    <n v="1118027834"/>
    <s v="Vendedora Digital / Atención al Cliente"/>
    <s v="DECLARADA"/>
    <s v="negociación"/>
    <s v="aplicar técnicas negociación"/>
    <x v="0"/>
    <s v="Negociación"/>
    <s v="No"/>
    <s v="Vendedor especializado/vendedora especializada"/>
    <n v="5223"/>
    <s v="Asistentes de venta de tiendas y almacenes"/>
  </r>
  <r>
    <n v="1118027834"/>
    <s v="Vendedora Digital / Atención al Cliente"/>
    <s v="DECLARADA"/>
    <s v="resolución de problemas"/>
    <s v="resolver problemas"/>
    <x v="0"/>
    <s v="Pensamiento Analítico"/>
    <s v="No"/>
    <s v="Vendedor especializado/vendedora especializada"/>
    <n v="5223"/>
    <s v="Asistentes de venta de tiendas y almacenes"/>
  </r>
  <r>
    <n v="1118027834"/>
    <s v="Vendedora Digital / Atención al Cliente"/>
    <s v="DECLARADA"/>
    <s v="WhatsApp"/>
    <s v="utilizar comunicación digital"/>
    <x v="7"/>
    <s v="Comunicación Digital"/>
    <s v="Sí"/>
    <s v="Vendedor especializado/vendedora especializada"/>
    <n v="5223"/>
    <s v="Asistentes de venta de tiendas y almacenes"/>
  </r>
  <r>
    <n v="1118027834"/>
    <s v="Vendedora Digital / Atención al Cliente"/>
    <s v="DECLARADA"/>
    <s v="correo electrónico"/>
    <s v="utilizar comunicación digital"/>
    <x v="7"/>
    <s v="Comunicación Digital"/>
    <s v="Sí"/>
    <s v="Vendedor especializado/vendedora especializada"/>
    <n v="5223"/>
    <s v="Asistentes de venta de tiendas y almacenes"/>
  </r>
  <r>
    <n v="1118027834"/>
    <s v="Vendedora Digital / Atención al Cliente"/>
    <s v="DECLARADA"/>
    <s v="redes sociales"/>
    <s v="gestionar redes sociales"/>
    <x v="2"/>
    <s v="Marketing Digital"/>
    <s v="Sí"/>
    <s v="Vendedor especializado/vendedora especializada"/>
    <n v="5223"/>
    <s v="Asistentes de venta de tiendas y almacenes"/>
  </r>
  <r>
    <n v="1118027834"/>
    <s v="Vendedora Digital / Atención al Cliente"/>
    <s v="IMPLÍCITA"/>
    <s v="Asesorar y atender consultas de clientes"/>
    <s v="prestar atención al cliente"/>
    <x v="4"/>
    <m/>
    <s v="No"/>
    <s v="Vendedor especializado/vendedora especializada"/>
    <n v="5223"/>
    <s v="Asistentes de venta de tiendas y almacenes"/>
  </r>
  <r>
    <n v="1118027834"/>
    <s v="Vendedora Digital / Atención al Cliente"/>
    <s v="IMPLÍCITA"/>
    <s v="Asesorar y atender consultas de clientes"/>
    <s v="comunicarse por canales digitales"/>
    <x v="3"/>
    <m/>
    <s v="Sí"/>
    <s v="Vendedor especializado/vendedora especializada"/>
    <n v="5223"/>
    <s v="Asistentes de venta de tiendas y almacenes"/>
  </r>
  <r>
    <n v="1118027834"/>
    <s v="Vendedora Digital / Atención al Cliente"/>
    <s v="IMPLÍCITA"/>
    <s v="Asesorar y atender consultas de clientes"/>
    <s v="resolver consultas de clientes"/>
    <x v="4"/>
    <m/>
    <s v="No"/>
    <s v="Vendedor especializado/vendedora especializada"/>
    <n v="5223"/>
    <s v="Asistentes de venta de tiendas y almacenes"/>
  </r>
  <r>
    <n v="1118027834"/>
    <s v="Vendedora Digital / Atención al Cliente"/>
    <s v="IMPLÍCITA"/>
    <s v="Seguimiento de presupuestos y pedidos"/>
    <s v="gestionar cotizaciones"/>
    <x v="2"/>
    <m/>
    <s v="No"/>
    <s v="Vendedor especializado/vendedora especializada"/>
    <n v="5223"/>
    <s v="Asistentes de venta de tiendas y almacenes"/>
  </r>
  <r>
    <n v="1118027834"/>
    <s v="Vendedora Digital / Atención al Cliente"/>
    <s v="IMPLÍCITA"/>
    <s v="Seguimiento de presupuestos y pedidos"/>
    <s v="dar seguimiento a pedidos"/>
    <x v="2"/>
    <m/>
    <s v="No"/>
    <s v="Vendedor especializado/vendedora especializada"/>
    <n v="5223"/>
    <s v="Asistentes de venta de tiendas y almacenes"/>
  </r>
  <r>
    <n v="1118027834"/>
    <s v="Vendedora Digital / Atención al Cliente"/>
    <s v="IMPLÍCITA"/>
    <s v="Seguimiento de presupuestos y pedidos"/>
    <s v="utilizar software de hojas de cálculo"/>
    <x v="3"/>
    <m/>
    <s v="Sí"/>
    <s v="Vendedor especializado/vendedora especializada"/>
    <n v="5223"/>
    <s v="Asistentes de venta de tiendas y almacenes"/>
  </r>
  <r>
    <n v="1118027834"/>
    <s v="Vendedora Digital / Atención al Cliente"/>
    <s v="IMPLÍCITA"/>
    <s v="Cargar y actualizar información en el sistema"/>
    <s v="ingresar datos al sistema"/>
    <x v="3"/>
    <m/>
    <s v="Sí"/>
    <s v="Vendedor especializado/vendedora especializada"/>
    <n v="5223"/>
    <s v="Asistentes de venta de tiendas y almacenes"/>
  </r>
  <r>
    <n v="1118027834"/>
    <s v="Vendedora Digital / Atención al Cliente"/>
    <s v="IMPLÍCITA"/>
    <s v="Cargar y actualizar información en el sistema"/>
    <s v="mantener bases de datos actualizadas"/>
    <x v="3"/>
    <m/>
    <s v="Sí"/>
    <s v="Vendedor especializado/vendedora especializada"/>
    <n v="5223"/>
    <s v="Asistentes de venta de tiendas y almacenes"/>
  </r>
  <r>
    <n v="1118027834"/>
    <s v="Vendedora Digital / Atención al Cliente"/>
    <s v="IMPLÍCITA"/>
    <s v="Coordinar con logística y administración"/>
    <s v="coordinar con otras áreas"/>
    <x v="0"/>
    <m/>
    <s v="No"/>
    <s v="Vendedor especializado/vendedora especializada"/>
    <n v="5223"/>
    <s v="Asistentes de venta de tiendas y almacenes"/>
  </r>
  <r>
    <n v="1118027834"/>
    <s v="Vendedora Digital / Atención al Cliente"/>
    <s v="IMPLÍCITA"/>
    <s v="Coordinar con logística y administración"/>
    <s v="gestionar comunicación interna"/>
    <x v="0"/>
    <m/>
    <s v="No"/>
    <s v="Vendedor especializado/vendedora especializada"/>
    <n v="5223"/>
    <s v="Asistentes de venta de tiendas y almacenes"/>
  </r>
  <r>
    <n v="1118027834"/>
    <s v="Vendedora Digital / Atención al Cliente"/>
    <s v="IMPLÍCITA"/>
    <s v="Coordinar con logística y administración"/>
    <s v="dar seguimiento a entregas"/>
    <x v="2"/>
    <m/>
    <s v="No"/>
    <s v="Vendedor especializado/vendedora especializada"/>
    <n v="5223"/>
    <s v="Asistentes de venta de tiendas y almacenes"/>
  </r>
  <r>
    <n v="1118027941"/>
    <s v="Dibujante Tecnico"/>
    <s v="DECLARADA"/>
    <s v="AutoCAD"/>
    <s v="utilizar software CAD"/>
    <x v="2"/>
    <s v="Diseño CAD"/>
    <s v="Sí"/>
    <s v="Técnico medio en contabilidad"/>
    <n v="3313"/>
    <s v="Tenedores de libros"/>
  </r>
  <r>
    <n v="1118027941"/>
    <s v="Dibujante Tecnico"/>
    <s v="DECLARADA"/>
    <s v="Solidworks 2D y 3D"/>
    <s v="utilizar software CAD"/>
    <x v="2"/>
    <s v="Diseño CAD"/>
    <s v="Sí"/>
    <s v="Técnico medio en contabilidad"/>
    <n v="3313"/>
    <s v="Tenedores de libros"/>
  </r>
  <r>
    <n v="1118027941"/>
    <s v="Dibujante Tecnico"/>
    <s v="DECLARADA"/>
    <s v="AutoCAD"/>
    <s v="utilizar software CAD"/>
    <x v="2"/>
    <s v="Diseño CAD"/>
    <s v="Sí"/>
    <s v="Técnico medio en contabilidad"/>
    <n v="3313"/>
    <s v="Tenedores de libros"/>
  </r>
  <r>
    <n v="1118027941"/>
    <s v="Dibujante Tecnico"/>
    <s v="DECLARADA"/>
    <s v="Solidworks 2D y 3D"/>
    <s v="utilizar software CAD"/>
    <x v="2"/>
    <s v="Diseño CAD"/>
    <s v="Sí"/>
    <s v="Técnico medio en contabilidad"/>
    <n v="3313"/>
    <s v="Tenedores de libros"/>
  </r>
  <r>
    <n v="1118027941"/>
    <s v="Dibujante Tecnico"/>
    <s v="IMPLÍCITA"/>
    <s v="Realización de planos de piezas"/>
    <s v="interpretar especificaciones técnicas"/>
    <x v="2"/>
    <m/>
    <s v="No"/>
    <s v="Técnico medio en contabilidad"/>
    <n v="3313"/>
    <s v="Tenedores de libros"/>
  </r>
  <r>
    <n v="1118027941"/>
    <s v="Dibujante Tecnico"/>
    <s v="IMPLÍCITA"/>
    <s v="Realización de planos de piezas"/>
    <s v="aplicar normas de dibujo técnico"/>
    <x v="2"/>
    <m/>
    <s v="No"/>
    <s v="Técnico medio en contabilidad"/>
    <n v="3313"/>
    <s v="Tenedores de libros"/>
  </r>
  <r>
    <n v="1118027941"/>
    <s v="Dibujante Tecnico"/>
    <s v="IMPLÍCITA"/>
    <s v="Realización de planos de piezas"/>
    <s v="calcular dimensiones y tolerancias"/>
    <x v="2"/>
    <m/>
    <s v="No"/>
    <s v="Técnico medio en contabilidad"/>
    <n v="3313"/>
    <s v="Tenedores de libros"/>
  </r>
  <r>
    <n v="1118027941"/>
    <s v="Dibujante Tecnico"/>
    <s v="IMPLÍCITA"/>
    <s v="Relevamiento de piezas varias"/>
    <s v="medir piezas mecánicas"/>
    <x v="2"/>
    <m/>
    <s v="No"/>
    <s v="Técnico medio en contabilidad"/>
    <n v="3313"/>
    <s v="Tenedores de libros"/>
  </r>
  <r>
    <n v="1118027941"/>
    <s v="Dibujante Tecnico"/>
    <s v="IMPLÍCITA"/>
    <s v="Relevamiento de piezas varias"/>
    <s v="utilizar instrumentos de medición"/>
    <x v="2"/>
    <m/>
    <s v="No"/>
    <s v="Técnico medio en contabilidad"/>
    <n v="3313"/>
    <s v="Tenedores de libros"/>
  </r>
  <r>
    <n v="1118027941"/>
    <s v="Dibujante Tecnico"/>
    <s v="IMPLÍCITA"/>
    <s v="Relevamiento de piezas varias"/>
    <s v="documentar especificaciones"/>
    <x v="2"/>
    <m/>
    <s v="No"/>
    <s v="Técnico medio en contabilidad"/>
    <n v="3313"/>
    <s v="Tenedores de libros"/>
  </r>
  <r>
    <n v="1118028027"/>
    <s v="OPERADOR DE AUTOELEVADORES"/>
    <s v="IMPLÍCITA"/>
    <s v="Manejo de autoelevadores"/>
    <s v="operar autoelevadores"/>
    <x v="2"/>
    <m/>
    <s v="No"/>
    <s v="Operador de maquinaria agrícola"/>
    <n v="8341"/>
    <s v="Operadores de maquinaria agrícola y forestal móvil"/>
  </r>
  <r>
    <n v="1118028027"/>
    <s v="OPERADOR DE AUTOELEVADORES"/>
    <s v="IMPLÍCITA"/>
    <s v="Manejo de autoelevadores"/>
    <s v="realizar maniobras de carga"/>
    <x v="2"/>
    <m/>
    <s v="No"/>
    <s v="Operador de maquinaria agrícola"/>
    <n v="8341"/>
    <s v="Operadores de maquinaria agrícola y forestal móvil"/>
  </r>
  <r>
    <n v="1118028027"/>
    <s v="OPERADOR DE AUTOELEVADORES"/>
    <s v="IMPLÍCITA"/>
    <s v="Manejo de autoelevadores"/>
    <s v="aplicar normas de seguridad industrial"/>
    <x v="2"/>
    <m/>
    <s v="No"/>
    <s v="Operador de maquinaria agrícola"/>
    <n v="8341"/>
    <s v="Operadores de maquinaria agrícola y forestal móvil"/>
  </r>
  <r>
    <n v="1118028027"/>
    <s v="OPERADOR DE AUTOELEVADORES"/>
    <s v="IMPLÍCITA"/>
    <s v="Trabajo en logística"/>
    <s v="organizar mercadería en almacén"/>
    <x v="2"/>
    <m/>
    <s v="No"/>
    <s v="Operador de maquinaria agrícola"/>
    <n v="8341"/>
    <s v="Operadores de maquinaria agrícola y forestal móvil"/>
  </r>
  <r>
    <n v="1118028027"/>
    <s v="OPERADOR DE AUTOELEVADORES"/>
    <s v="IMPLÍCITA"/>
    <s v="Trabajo en logística"/>
    <s v="preparar pedidos"/>
    <x v="2"/>
    <m/>
    <s v="No"/>
    <s v="Operador de maquinaria agrícola"/>
    <n v="8341"/>
    <s v="Operadores de maquinaria agrícola y forestal móvil"/>
  </r>
  <r>
    <n v="1118028027"/>
    <s v="OPERADOR DE AUTOELEVADORES"/>
    <s v="IMPLÍCITA"/>
    <s v="Trabajo en logística"/>
    <s v="controlar documentación de carga"/>
    <x v="2"/>
    <m/>
    <s v="No"/>
    <s v="Operador de maquinaria agrícola"/>
    <n v="8341"/>
    <s v="Operadores de maquinaria agrícola y forestal móvil"/>
  </r>
  <r>
    <n v="1118028038"/>
    <s v="Ejecutiva/o Comercial de Cuentas - GBA Norte"/>
    <s v="DECLARADA"/>
    <s v="MS Office"/>
    <s v="utilizar software ofimático"/>
    <x v="2"/>
    <s v="Software Ofimático"/>
    <s v="Sí"/>
    <s v="Representante comercial"/>
    <n v="3322"/>
    <s v="Representantes comerciales"/>
  </r>
  <r>
    <n v="1118028038"/>
    <s v="Ejecutiva/o Comercial de Cuentas - GBA Norte"/>
    <s v="DECLARADA"/>
    <s v="trabajo en equipo"/>
    <s v="trabajar en equipo"/>
    <x v="0"/>
    <s v="Colaboración"/>
    <s v="No"/>
    <s v="Representante comercial"/>
    <n v="3322"/>
    <s v="Representantes comerciales"/>
  </r>
  <r>
    <n v="1118028038"/>
    <s v="Ejecutiva/o Comercial de Cuentas - GBA Norte"/>
    <s v="DECLARADA"/>
    <s v="comunicacion"/>
    <s v="comunicarse eficazmente"/>
    <x v="0"/>
    <s v="Comunicación"/>
    <s v="No"/>
    <s v="Representante comercial"/>
    <n v="3322"/>
    <s v="Representantes comerciales"/>
  </r>
  <r>
    <n v="1118028038"/>
    <s v="Ejecutiva/o Comercial de Cuentas - GBA Norte"/>
    <s v="DECLARADA"/>
    <s v="Tango o equivalente"/>
    <s v="utilizar sistemas ERP"/>
    <x v="2"/>
    <s v="ERP/Gestión"/>
    <s v="Sí"/>
    <s v="Representante comercial"/>
    <n v="3322"/>
    <s v="Representantes comerciales"/>
  </r>
  <r>
    <n v="1118028038"/>
    <s v="Ejecutiva/o Comercial de Cuentas - GBA Norte"/>
    <s v="IMPLÍCITA"/>
    <s v="Visitas a las cuentas"/>
    <s v="realizar visitas comerciales"/>
    <x v="2"/>
    <m/>
    <s v="No"/>
    <s v="Representante comercial"/>
    <n v="3322"/>
    <s v="Representantes comerciales"/>
  </r>
  <r>
    <n v="1118028038"/>
    <s v="Ejecutiva/o Comercial de Cuentas - GBA Norte"/>
    <s v="IMPLÍCITA"/>
    <s v="Visitas a las cuentas"/>
    <s v="conducir vehículo"/>
    <x v="2"/>
    <m/>
    <s v="No"/>
    <s v="Representante comercial"/>
    <n v="3322"/>
    <s v="Representantes comerciales"/>
  </r>
  <r>
    <n v="1118028038"/>
    <s v="Ejecutiva/o Comercial de Cuentas - GBA Norte"/>
    <s v="IMPLÍCITA"/>
    <s v="Visitas a las cuentas"/>
    <s v="planificar rutas de visitas"/>
    <x v="1"/>
    <m/>
    <s v="No"/>
    <s v="Representante comercial"/>
    <n v="3322"/>
    <s v="Representantes comerciales"/>
  </r>
  <r>
    <n v="1118028038"/>
    <s v="Ejecutiva/o Comercial de Cuentas - GBA Norte"/>
    <s v="IMPLÍCITA"/>
    <s v="Preparación de propuestas competitivas"/>
    <s v="elaborar propuestas comerciales"/>
    <x v="2"/>
    <m/>
    <s v="No"/>
    <s v="Representante comercial"/>
    <n v="3322"/>
    <s v="Representantes comerciales"/>
  </r>
  <r>
    <n v="1118028038"/>
    <s v="Ejecutiva/o Comercial de Cuentas - GBA Norte"/>
    <s v="IMPLÍCITA"/>
    <s v="Preparación de propuestas competitivas"/>
    <s v="analizar necesidades del cliente"/>
    <x v="2"/>
    <m/>
    <s v="No"/>
    <s v="Representante comercial"/>
    <n v="3322"/>
    <s v="Representantes comerciales"/>
  </r>
  <r>
    <n v="1118028038"/>
    <s v="Ejecutiva/o Comercial de Cuentas - GBA Norte"/>
    <s v="IMPLÍCITA"/>
    <s v="Preparación de propuestas competitivas"/>
    <s v="calcular presupuestos"/>
    <x v="2"/>
    <m/>
    <s v="No"/>
    <s v="Representante comercial"/>
    <n v="3322"/>
    <s v="Representantes comerciales"/>
  </r>
  <r>
    <n v="1118028038"/>
    <s v="Ejecutiva/o Comercial de Cuentas - GBA Norte"/>
    <s v="IMPLÍCITA"/>
    <s v="Presentar informes a la Gerencia"/>
    <s v="elaborar informes de gestión"/>
    <x v="2"/>
    <m/>
    <s v="No"/>
    <s v="Representante comercial"/>
    <n v="3322"/>
    <s v="Representantes comerciales"/>
  </r>
  <r>
    <n v="1118028038"/>
    <s v="Ejecutiva/o Comercial de Cuentas - GBA Norte"/>
    <s v="IMPLÍCITA"/>
    <s v="Presentar informes a la Gerencia"/>
    <s v="utilizar software de presentaciones"/>
    <x v="3"/>
    <m/>
    <s v="Sí"/>
    <s v="Representante comercial"/>
    <n v="3322"/>
    <s v="Representantes comerciales"/>
  </r>
  <r>
    <n v="1118028038"/>
    <s v="Ejecutiva/o Comercial de Cuentas - GBA Norte"/>
    <s v="IMPLÍCITA"/>
    <s v="Presentar informes a la Gerencia"/>
    <s v="analizar indicadores de ventas"/>
    <x v="2"/>
    <m/>
    <s v="No"/>
    <s v="Representante comercial"/>
    <n v="3322"/>
    <s v="Representantes comerciales"/>
  </r>
  <r>
    <n v="1118028048"/>
    <s v="Asesor/a de Ventas y Atención al Cliente"/>
    <s v="DECLARADA"/>
    <s v="POS"/>
    <s v="utilizar sistemas punto venta"/>
    <x v="2"/>
    <s v="Punto de Venta"/>
    <s v="Sí"/>
    <s v="Vendedor/vendedora"/>
    <n v="5223"/>
    <s v="Asistentes de venta de tiendas y almacenes"/>
  </r>
  <r>
    <n v="1118028048"/>
    <s v="Asesor/a de Ventas y Atención al Cliente"/>
    <s v="DECLARADA"/>
    <s v="proactividad"/>
    <s v="mostrar iniciativa"/>
    <x v="0"/>
    <s v="Iniciativa"/>
    <s v="No"/>
    <s v="Vendedor/vendedora"/>
    <n v="5223"/>
    <s v="Asistentes de venta de tiendas y almacenes"/>
  </r>
  <r>
    <n v="1118028048"/>
    <s v="Asesor/a de Ventas y Atención al Cliente"/>
    <s v="DECLARADA"/>
    <s v="adaptabilidad"/>
    <s v="adaptarse al cambio"/>
    <x v="0"/>
    <s v="Adaptabilidad"/>
    <s v="No"/>
    <s v="Vendedor/vendedora"/>
    <n v="5223"/>
    <s v="Asistentes de venta de tiendas y almacenes"/>
  </r>
  <r>
    <n v="1118028048"/>
    <s v="Asesor/a de Ventas y Atención al Cliente"/>
    <s v="DECLARADA"/>
    <s v="sociabilidad natural"/>
    <s v="establecer relaciones interpersonales"/>
    <x v="0"/>
    <s v="Relaciones Interpersonales"/>
    <s v="No"/>
    <s v="Vendedor/vendedora"/>
    <n v="5223"/>
    <s v="Asistentes de venta de tiendas y almacenes"/>
  </r>
  <r>
    <n v="1118028048"/>
    <s v="Asesor/a de Ventas y Atención al Cliente"/>
    <s v="DECLARADA"/>
    <s v="empatía"/>
    <s v="demostrar empatía"/>
    <x v="0"/>
    <s v="Inteligencia Emocional"/>
    <s v="No"/>
    <s v="Vendedor/vendedora"/>
    <n v="5223"/>
    <s v="Asistentes de venta de tiendas y almacenes"/>
  </r>
  <r>
    <n v="1118028048"/>
    <s v="Asesor/a de Ventas y Atención al Cliente"/>
    <s v="DECLARADA"/>
    <s v="autoconfianza"/>
    <s v="demostrar autoconfianza"/>
    <x v="0"/>
    <s v="Inteligencia Emocional"/>
    <s v="No"/>
    <s v="Vendedor/vendedora"/>
    <n v="5223"/>
    <s v="Asistentes de venta de tiendas y almacenes"/>
  </r>
  <r>
    <n v="1118028048"/>
    <s v="Asesor/a de Ventas y Atención al Cliente"/>
    <s v="IMPLÍCITA"/>
    <s v="Promocionar y vender productos"/>
    <s v="realizar ventas retail"/>
    <x v="2"/>
    <m/>
    <s v="No"/>
    <s v="Vendedor/vendedora"/>
    <n v="5223"/>
    <s v="Asistentes de venta de tiendas y almacenes"/>
  </r>
  <r>
    <n v="1118028048"/>
    <s v="Asesor/a de Ventas y Atención al Cliente"/>
    <s v="IMPLÍCITA"/>
    <s v="Mantener espacio de trabajo ordenado"/>
    <s v="organizar exhibición de productos"/>
    <x v="2"/>
    <m/>
    <s v="No"/>
    <s v="Vendedor/vendedora"/>
    <n v="5223"/>
    <s v="Asistentes de venta de tiendas y almacenes"/>
  </r>
  <r>
    <n v="1118028048"/>
    <s v="Asesor/a de Ventas y Atención al Cliente"/>
    <s v="IMPLÍCITA"/>
    <s v="Mantener espacio de trabajo ordenado"/>
    <s v="mantener limpieza del local"/>
    <x v="2"/>
    <m/>
    <s v="No"/>
    <s v="Vendedor/vendedora"/>
    <n v="5223"/>
    <s v="Asistentes de venta de tiendas y almacenes"/>
  </r>
  <r>
    <n v="1118028048"/>
    <s v="Asesor/a de Ventas y Atención al Cliente"/>
    <s v="IMPLÍCITA"/>
    <s v="Resolver consultas y reclamos"/>
    <s v="atender consultas de clientes"/>
    <x v="4"/>
    <m/>
    <s v="No"/>
    <s v="Vendedor/vendedora"/>
    <n v="5223"/>
    <s v="Asistentes de venta de tiendas y almacenes"/>
  </r>
  <r>
    <n v="1118028048"/>
    <s v="Asesor/a de Ventas y Atención al Cliente"/>
    <s v="IMPLÍCITA"/>
    <s v="Resolver consultas y reclamos"/>
    <s v="gestionar reclamos"/>
    <x v="4"/>
    <m/>
    <s v="No"/>
    <s v="Vendedor/vendedora"/>
    <n v="5223"/>
    <s v="Asistentes de venta de tiendas y almacenes"/>
  </r>
  <r>
    <n v="1118028201"/>
    <s v="671SI Operarios ind. ALIMENTICIA c/ Tit. secundari"/>
    <s v="DECLARADA"/>
    <s v="BPM"/>
    <s v="aplicar gestión procesos negocio"/>
    <x v="1"/>
    <s v="Gestión Procesos"/>
    <s v="No"/>
    <s v="Operario de producción de alimentos"/>
    <n v="8160"/>
    <s v="Operadores de máquinas para elaborar alimentos"/>
  </r>
  <r>
    <n v="1118028201"/>
    <s v="671SI Operarios ind. ALIMENTICIA c/ Tit. secundari"/>
    <s v="IMPLÍCITA"/>
    <s v="Fraccionamiento y envasado de alimentos"/>
    <s v="operar maquinaria de envasado"/>
    <x v="2"/>
    <m/>
    <s v="No"/>
    <s v="Operario de producción de alimentos"/>
    <n v="8160"/>
    <s v="Operadores de máquinas para elaborar alimentos"/>
  </r>
  <r>
    <n v="1118028201"/>
    <s v="671SI Operarios ind. ALIMENTICIA c/ Tit. secundari"/>
    <s v="IMPLÍCITA"/>
    <s v="Fraccionamiento y envasado de alimentos"/>
    <s v="controlar peso y medidas"/>
    <x v="2"/>
    <m/>
    <s v="No"/>
    <s v="Operario de producción de alimentos"/>
    <n v="8160"/>
    <s v="Operadores de máquinas para elaborar alimentos"/>
  </r>
  <r>
    <n v="1118028201"/>
    <s v="671SI Operarios ind. ALIMENTICIA c/ Tit. secundari"/>
    <s v="IMPLÍCITA"/>
    <s v="Empaque, llenado, cierre y precintado"/>
    <s v="operar máquinas llenadoras"/>
    <x v="2"/>
    <m/>
    <s v="No"/>
    <s v="Operario de producción de alimentos"/>
    <n v="8160"/>
    <s v="Operadores de máquinas para elaborar alimentos"/>
  </r>
  <r>
    <n v="1118028201"/>
    <s v="671SI Operarios ind. ALIMENTICIA c/ Tit. secundari"/>
    <s v="IMPLÍCITA"/>
    <s v="Empaque, llenado, cierre y precintado"/>
    <s v="realizar controles de calidad"/>
    <x v="2"/>
    <m/>
    <s v="No"/>
    <s v="Operario de producción de alimentos"/>
    <n v="8160"/>
    <s v="Operadores de máquinas para elaborar alimentos"/>
  </r>
  <r>
    <n v="1118028201"/>
    <s v="671SI Operarios ind. ALIMENTICIA c/ Tit. secundari"/>
    <s v="IMPLÍCITA"/>
    <s v="Empaque, llenado, cierre y precintado"/>
    <s v="manipular alimentos de forma segura"/>
    <x v="2"/>
    <m/>
    <s v="No"/>
    <s v="Operario de producción de alimentos"/>
    <n v="8160"/>
    <s v="Operadores de máquinas para elaborar alimentos"/>
  </r>
  <r>
    <n v="1118028201"/>
    <s v="671SI Operarios ind. ALIMENTICIA c/ Tit. secundari"/>
    <s v="IMPLÍCITA"/>
    <s v="Etiquetado y control de calidad"/>
    <s v="aplicar etiquetas de productos"/>
    <x v="2"/>
    <m/>
    <s v="No"/>
    <s v="Operario de producción de alimentos"/>
    <n v="8160"/>
    <s v="Operadores de máquinas para elaborar alimentos"/>
  </r>
  <r>
    <n v="1118028201"/>
    <s v="671SI Operarios ind. ALIMENTICIA c/ Tit. secundari"/>
    <s v="IMPLÍCITA"/>
    <s v="Etiquetado y control de calidad"/>
    <s v="verificar información de etiquetado"/>
    <x v="2"/>
    <m/>
    <s v="No"/>
    <s v="Operario de producción de alimentos"/>
    <n v="8160"/>
    <s v="Operadores de máquinas para elaborar alimentos"/>
  </r>
  <r>
    <n v="1118028201"/>
    <s v="671SI Operarios ind. ALIMENTICIA c/ Tit. secundari"/>
    <s v="IMPLÍCITA"/>
    <s v="Etiquetado y control de calidad"/>
    <s v="detectar defectos en productos"/>
    <x v="2"/>
    <m/>
    <s v="No"/>
    <s v="Operario de producción de alimentos"/>
    <n v="8160"/>
    <s v="Operadores de máquinas para elaborar alimentos"/>
  </r>
  <r>
    <n v="1118028201"/>
    <s v="671SI Operarios ind. ALIMENTICIA c/ Tit. secundari"/>
    <s v="IMPLÍCITA"/>
    <s v="Preparación de pedidos"/>
    <s v="preparar pedidos según orden"/>
    <x v="2"/>
    <m/>
    <s v="No"/>
    <s v="Operario de producción de alimentos"/>
    <n v="8160"/>
    <s v="Operadores de máquinas para elaborar alimentos"/>
  </r>
  <r>
    <n v="1118028201"/>
    <s v="671SI Operarios ind. ALIMENTICIA c/ Tit. secundari"/>
    <s v="IMPLÍCITA"/>
    <s v="Preparación de pedidos"/>
    <s v="verificar cantidades"/>
    <x v="2"/>
    <m/>
    <s v="No"/>
    <s v="Operario de producción de alimentos"/>
    <n v="8160"/>
    <s v="Operadores de máquinas para elaborar alimentos"/>
  </r>
  <r>
    <n v="1118028201"/>
    <s v="671SI Operarios ind. ALIMENTICIA c/ Tit. secundari"/>
    <s v="IMPLÍCITA"/>
    <s v="Mantenimiento del orden y limpieza"/>
    <s v="aplicar normas de higiene industrial"/>
    <x v="2"/>
    <m/>
    <s v="No"/>
    <s v="Operario de producción de alimentos"/>
    <n v="8160"/>
    <s v="Operadores de máquinas para elaborar alimentos"/>
  </r>
  <r>
    <n v="1118028201"/>
    <s v="671SI Operarios ind. ALIMENTICIA c/ Tit. secundari"/>
    <s v="IMPLÍCITA"/>
    <s v="Mantenimiento del orden y limpieza"/>
    <s v="mantener área de trabajo limpia"/>
    <x v="2"/>
    <m/>
    <s v="No"/>
    <s v="Operario de producción de alimentos"/>
    <n v="8160"/>
    <s v="Operadores de máquinas para elaborar alimentos"/>
  </r>
  <r>
    <n v="1118028376"/>
    <s v="Analista administrativo/a"/>
    <s v="DECLARADA"/>
    <s v="Excel"/>
    <s v="utilizar hojas de cálculo"/>
    <x v="2"/>
    <s v="Software Ofimático"/>
    <s v="Sí"/>
    <s v="Empleado administrativo de compañía de seguros"/>
    <n v="4312"/>
    <s v="Empleados de servicios estadísticos, financieros y de seguros"/>
  </r>
  <r>
    <n v="1118028376"/>
    <s v="Analista administrativo/a"/>
    <s v="DECLARADA"/>
    <s v="MS Office"/>
    <s v="utilizar software ofimático"/>
    <x v="2"/>
    <s v="Software Ofimático"/>
    <s v="Sí"/>
    <s v="Empleado administrativo de compañía de seguros"/>
    <n v="4312"/>
    <s v="Empleados de servicios estadísticos, financieros y de seguros"/>
  </r>
  <r>
    <n v="1118028376"/>
    <s v="Analista administrativo/a"/>
    <s v="IMPLÍCITA"/>
    <s v="Tareas administrativas, contables, financieras"/>
    <s v="realizar tareas contables"/>
    <x v="2"/>
    <m/>
    <s v="No"/>
    <s v="Empleado administrativo de compañía de seguros"/>
    <n v="4312"/>
    <s v="Empleados de servicios estadísticos, financieros y de seguros"/>
  </r>
  <r>
    <n v="1118028376"/>
    <s v="Analista administrativo/a"/>
    <s v="IMPLÍCITA"/>
    <s v="Tareas administrativas, contables, financieras"/>
    <s v="gestionar documentación financiera"/>
    <x v="2"/>
    <m/>
    <s v="No"/>
    <s v="Empleado administrativo de compañía de seguros"/>
    <n v="4312"/>
    <s v="Empleados de servicios estadísticos, financieros y de seguros"/>
  </r>
  <r>
    <n v="1118028376"/>
    <s v="Analista administrativo/a"/>
    <s v="IMPLÍCITA"/>
    <s v="Tareas administrativas, contables, financieras"/>
    <s v="procesar transacciones comerciales"/>
    <x v="2"/>
    <m/>
    <s v="No"/>
    <s v="Empleado administrativo de compañía de seguros"/>
    <n v="4312"/>
    <s v="Empleados de servicios estadísticos, financieros y de seguros"/>
  </r>
  <r>
    <n v="1118028376"/>
    <s v="Analista administrativo/a"/>
    <s v="IMPLÍCITA"/>
    <s v="Colaborar con equipos interdisciplinarios"/>
    <s v="trabajar en equipo"/>
    <x v="0"/>
    <m/>
    <s v="No"/>
    <s v="Empleado administrativo de compañía de seguros"/>
    <n v="4312"/>
    <s v="Empleados de servicios estadísticos, financieros y de seguros"/>
  </r>
  <r>
    <n v="1118028376"/>
    <s v="Analista administrativo/a"/>
    <s v="IMPLÍCITA"/>
    <s v="Colaborar con equipos interdisciplinarios"/>
    <s v="comunicarse con otras áreas"/>
    <x v="0"/>
    <m/>
    <s v="No"/>
    <s v="Empleado administrativo de compañía de seguros"/>
    <n v="4312"/>
    <s v="Empleados de servicios estadísticos, financieros y de seguros"/>
  </r>
  <r>
    <n v="1118028376"/>
    <s v="Analista administrativo/a"/>
    <s v="IMPLÍCITA"/>
    <s v="Colaborar con equipos interdisciplinarios"/>
    <s v="coordinar procesos entre departamentos"/>
    <x v="1"/>
    <m/>
    <s v="No"/>
    <s v="Empleado administrativo de compañía de seguros"/>
    <n v="4312"/>
    <s v="Empleados de servicios estadísticos, financieros y de seguros"/>
  </r>
  <r>
    <n v="1118028657"/>
    <s v="Recepcionista"/>
    <s v="IMPLÍCITA"/>
    <s v="Atención personalizada a clientes y proveedores"/>
    <s v="prestar atención al cliente"/>
    <x v="4"/>
    <m/>
    <s v="No"/>
    <s v="Recepcionista"/>
    <n v="4226"/>
    <s v="Recepcionistas (general)"/>
  </r>
  <r>
    <n v="1118028657"/>
    <s v="Recepcionista"/>
    <s v="IMPLÍCITA"/>
    <s v="Atención personalizada a clientes y proveedores"/>
    <s v="recibir visitantes"/>
    <x v="4"/>
    <m/>
    <s v="No"/>
    <s v="Recepcionista"/>
    <n v="4226"/>
    <s v="Recepcionistas (general)"/>
  </r>
  <r>
    <n v="1118028657"/>
    <s v="Recepcionista"/>
    <s v="IMPLÍCITA"/>
    <s v="Atención personalizada a clientes y proveedores"/>
    <s v="comunicarse de forma profesional"/>
    <x v="0"/>
    <m/>
    <s v="No"/>
    <s v="Recepcionista"/>
    <n v="4226"/>
    <s v="Recepcionistas (general)"/>
  </r>
  <r>
    <n v="1118028657"/>
    <s v="Recepcionista"/>
    <s v="IMPLÍCITA"/>
    <s v="Manejo de documentación"/>
    <s v="gestionar documentación"/>
    <x v="2"/>
    <m/>
    <s v="No"/>
    <s v="Recepcionista"/>
    <n v="4226"/>
    <s v="Recepcionistas (general)"/>
  </r>
  <r>
    <n v="1118028657"/>
    <s v="Recepcionista"/>
    <s v="IMPLÍCITA"/>
    <s v="Manejo de documentación"/>
    <s v="archivar documentos"/>
    <x v="2"/>
    <m/>
    <s v="No"/>
    <s v="Recepcionista"/>
    <n v="4226"/>
    <s v="Recepcionistas (general)"/>
  </r>
  <r>
    <n v="1118028657"/>
    <s v="Recepcionista"/>
    <s v="IMPLÍCITA"/>
    <s v="Manejo de documentación"/>
    <s v="utilizar software ofimático"/>
    <x v="3"/>
    <m/>
    <s v="Sí"/>
    <s v="Recepcionista"/>
    <n v="4226"/>
    <s v="Recepcionistas (general)"/>
  </r>
  <r>
    <n v="1118028657"/>
    <s v="Recepcionista"/>
    <s v="IMPLÍCITA"/>
    <s v="Tareas administrativas"/>
    <s v="realizar tareas administrativas"/>
    <x v="2"/>
    <m/>
    <s v="No"/>
    <s v="Recepcionista"/>
    <n v="4226"/>
    <s v="Recepcionistas (general)"/>
  </r>
  <r>
    <n v="1118028657"/>
    <s v="Recepcionista"/>
    <s v="IMPLÍCITA"/>
    <s v="Tareas administrativas"/>
    <s v="gestionar agenda"/>
    <x v="2"/>
    <m/>
    <s v="No"/>
    <s v="Recepcionista"/>
    <n v="4226"/>
    <s v="Recepcionistas (general)"/>
  </r>
  <r>
    <n v="1118028657"/>
    <s v="Recepcionista"/>
    <s v="IMPLÍCITA"/>
    <s v="Tareas administrativas"/>
    <s v="atender llamadas telefónicas"/>
    <x v="2"/>
    <m/>
    <s v="No"/>
    <s v="Recepcionista"/>
    <n v="4226"/>
    <s v="Recepcionistas (general)"/>
  </r>
  <r>
    <n v="1118028681"/>
    <s v="ADMINISTRATIVA/O"/>
    <s v="DECLARADA"/>
    <s v="Paquete Office"/>
    <s v="utilizar software ofimático"/>
    <x v="2"/>
    <s v="Software Ofimático"/>
    <s v="Sí"/>
    <s v="Empleado de oficina/empleada de oficina"/>
    <n v="4110"/>
    <s v="Oficinistas generales"/>
  </r>
  <r>
    <n v="1118028681"/>
    <s v="ADMINISTRATIVA/O"/>
    <s v="IMPLÍCITA"/>
    <s v="Ingreso de mercadería al sistema"/>
    <s v="registrar mercadería en sistema"/>
    <x v="2"/>
    <m/>
    <s v="No"/>
    <s v="Empleado de oficina/empleada de oficina"/>
    <n v="4110"/>
    <s v="Oficinistas generales"/>
  </r>
  <r>
    <n v="1118028681"/>
    <s v="ADMINISTRATIVA/O"/>
    <s v="IMPLÍCITA"/>
    <s v="Ingreso de mercadería al sistema"/>
    <s v="utilizar sistemas de gestión"/>
    <x v="3"/>
    <m/>
    <s v="Sí"/>
    <s v="Empleado de oficina/empleada de oficina"/>
    <n v="4110"/>
    <s v="Oficinistas generales"/>
  </r>
  <r>
    <n v="1118028681"/>
    <s v="ADMINISTRATIVA/O"/>
    <s v="IMPLÍCITA"/>
    <s v="Ingreso de mercadería al sistema"/>
    <s v="verificar documentación de entrada"/>
    <x v="2"/>
    <m/>
    <s v="No"/>
    <s v="Empleado de oficina/empleada de oficina"/>
    <n v="4110"/>
    <s v="Oficinistas generales"/>
  </r>
  <r>
    <n v="1118028681"/>
    <s v="ADMINISTRATIVA/O"/>
    <s v="IMPLÍCITA"/>
    <s v="Actualizar costos y precios en el sistema"/>
    <s v="gestionar precios de productos"/>
    <x v="2"/>
    <m/>
    <s v="No"/>
    <s v="Empleado de oficina/empleada de oficina"/>
    <n v="4110"/>
    <s v="Oficinistas generales"/>
  </r>
  <r>
    <n v="1118028681"/>
    <s v="ADMINISTRATIVA/O"/>
    <s v="IMPLÍCITA"/>
    <s v="Actualizar costos y precios en el sistema"/>
    <s v="calcular márgenes comerciales"/>
    <x v="2"/>
    <m/>
    <s v="No"/>
    <s v="Empleado de oficina/empleada de oficina"/>
    <n v="4110"/>
    <s v="Oficinistas generales"/>
  </r>
  <r>
    <n v="1118028681"/>
    <s v="ADMINISTRATIVA/O"/>
    <s v="IMPLÍCITA"/>
    <s v="Actualizar precios en plataformas e-commerce"/>
    <s v="gestionar plataformas e-commerce"/>
    <x v="3"/>
    <m/>
    <s v="Sí"/>
    <s v="Empleado de oficina/empleada de oficina"/>
    <n v="4110"/>
    <s v="Oficinistas generales"/>
  </r>
  <r>
    <n v="1118028681"/>
    <s v="ADMINISTRATIVA/O"/>
    <s v="IMPLÍCITA"/>
    <s v="Actualizar precios en plataformas e-commerce"/>
    <s v="actualizar catálogos online"/>
    <x v="3"/>
    <m/>
    <s v="Sí"/>
    <s v="Empleado de oficina/empleada de oficina"/>
    <n v="4110"/>
    <s v="Oficinistas generales"/>
  </r>
  <r>
    <n v="1118028681"/>
    <s v="ADMINISTRATIVA/O"/>
    <s v="IMPLÍCITA"/>
    <s v="Pago a proveedores"/>
    <s v="gestionar pagos a proveedores"/>
    <x v="2"/>
    <m/>
    <s v="No"/>
    <s v="Empleado de oficina/empleada de oficina"/>
    <n v="4110"/>
    <s v="Oficinistas generales"/>
  </r>
  <r>
    <n v="1118028681"/>
    <s v="ADMINISTRATIVA/O"/>
    <s v="IMPLÍCITA"/>
    <s v="Pago a proveedores"/>
    <s v="realizar transferencias bancarias"/>
    <x v="2"/>
    <m/>
    <s v="No"/>
    <s v="Empleado de oficina/empleada de oficina"/>
    <n v="4110"/>
    <s v="Oficinistas generales"/>
  </r>
  <r>
    <n v="1118028681"/>
    <s v="ADMINISTRATIVA/O"/>
    <s v="IMPLÍCITA"/>
    <s v="Pago a proveedores"/>
    <s v="controlar cuentas por pagar"/>
    <x v="2"/>
    <m/>
    <s v="No"/>
    <s v="Empleado de oficina/empleada de oficina"/>
    <n v="4110"/>
    <s v="Oficinistas generales"/>
  </r>
  <r>
    <n v="1118028681"/>
    <s v="ADMINISTRATIVA/O"/>
    <s v="IMPLÍCITA"/>
    <s v="Generar pedidos a proveedores"/>
    <s v="gestionar compras"/>
    <x v="2"/>
    <m/>
    <s v="No"/>
    <s v="Empleado de oficina/empleada de oficina"/>
    <n v="4110"/>
    <s v="Oficinistas generales"/>
  </r>
  <r>
    <n v="1118028681"/>
    <s v="ADMINISTRATIVA/O"/>
    <s v="IMPLÍCITA"/>
    <s v="Generar pedidos a proveedores"/>
    <s v="negociar con proveedores"/>
    <x v="2"/>
    <m/>
    <s v="No"/>
    <s v="Empleado de oficina/empleada de oficina"/>
    <n v="4110"/>
    <s v="Oficinistas generales"/>
  </r>
  <r>
    <n v="1118028681"/>
    <s v="ADMINISTRATIVA/O"/>
    <s v="IMPLÍCITA"/>
    <s v="Liquidación de sueldos"/>
    <s v="liquidar sueldos"/>
    <x v="2"/>
    <m/>
    <s v="No"/>
    <s v="Empleado de oficina/empleada de oficina"/>
    <n v="4110"/>
    <s v="Oficinistas generales"/>
  </r>
  <r>
    <n v="1118028681"/>
    <s v="ADMINISTRATIVA/O"/>
    <s v="IMPLÍCITA"/>
    <s v="Liquidación de sueldos"/>
    <s v="aplicar normativa laboral"/>
    <x v="2"/>
    <m/>
    <s v="No"/>
    <s v="Empleado de oficina/empleada de oficina"/>
    <n v="4110"/>
    <s v="Oficinistas generales"/>
  </r>
  <r>
    <n v="1118028681"/>
    <s v="ADMINISTRATIVA/O"/>
    <s v="IMPLÍCITA"/>
    <s v="Liquidación de sueldos"/>
    <s v="utilizar software de nómina"/>
    <x v="3"/>
    <m/>
    <s v="Sí"/>
    <s v="Empleado de oficina/empleada de oficina"/>
    <n v="4110"/>
    <s v="Oficinistas generales"/>
  </r>
  <r>
    <n v="1118028777"/>
    <s v="Vendedor con Experiencia (Corredor)"/>
    <s v="DECLARADA"/>
    <s v="habilidades de comunicación"/>
    <s v="comunicarse eficazmente"/>
    <x v="0"/>
    <s v="Comunicación"/>
    <s v="No"/>
    <s v="Vendedor/vendedora"/>
    <n v="5223"/>
    <s v="Asistentes de venta de tiendas y almacenes"/>
  </r>
  <r>
    <n v="1118028777"/>
    <s v="Vendedor con Experiencia (Corredor)"/>
    <s v="DECLARADA"/>
    <s v="negociación"/>
    <s v="aplicar técnicas negociación"/>
    <x v="0"/>
    <s v="Negociación"/>
    <s v="No"/>
    <s v="Vendedor/vendedora"/>
    <n v="5223"/>
    <s v="Asistentes de venta de tiendas y almacenes"/>
  </r>
  <r>
    <n v="1118028777"/>
    <s v="Vendedor con Experiencia (Corredor)"/>
    <s v="IMPLÍCITA"/>
    <s v="Promover y vender productos"/>
    <s v="aplicar técnicas de venta"/>
    <x v="2"/>
    <m/>
    <s v="No"/>
    <s v="Vendedor/vendedora"/>
    <n v="5223"/>
    <s v="Asistentes de venta de tiendas y almacenes"/>
  </r>
  <r>
    <n v="1118028777"/>
    <s v="Vendedor con Experiencia (Corredor)"/>
    <s v="IMPLÍCITA"/>
    <s v="Promover y vender productos"/>
    <s v="asesorar sobre productos"/>
    <x v="4"/>
    <m/>
    <s v="No"/>
    <s v="Vendedor/vendedora"/>
    <n v="5223"/>
    <s v="Asistentes de venta de tiendas y almacenes"/>
  </r>
  <r>
    <n v="1118028777"/>
    <s v="Vendedor con Experiencia (Corredor)"/>
    <s v="IMPLÍCITA"/>
    <s v="Seguimiento de ventas y cobranzas"/>
    <s v="dar seguimiento a clientes"/>
    <x v="2"/>
    <m/>
    <s v="No"/>
    <s v="Vendedor/vendedora"/>
    <n v="5223"/>
    <s v="Asistentes de venta de tiendas y almacenes"/>
  </r>
  <r>
    <n v="1118028777"/>
    <s v="Vendedor con Experiencia (Corredor)"/>
    <s v="IMPLÍCITA"/>
    <s v="Seguimiento de ventas y cobranzas"/>
    <s v="gestionar cobranzas"/>
    <x v="2"/>
    <m/>
    <s v="No"/>
    <s v="Vendedor/vendedora"/>
    <n v="5223"/>
    <s v="Asistentes de venta de tiendas y almacenes"/>
  </r>
  <r>
    <n v="1118028777"/>
    <s v="Vendedor con Experiencia (Corredor)"/>
    <s v="IMPLÍCITA"/>
    <s v="Cumplir objetivos de venta"/>
    <s v="gestionar cuotas de ventas"/>
    <x v="2"/>
    <m/>
    <s v="No"/>
    <s v="Vendedor/vendedora"/>
    <n v="5223"/>
    <s v="Asistentes de venta de tiendas y almacenes"/>
  </r>
  <r>
    <n v="1118028777"/>
    <s v="Vendedor con Experiencia (Corredor)"/>
    <s v="IMPLÍCITA"/>
    <s v="Cumplir objetivos de venta"/>
    <s v="reportar resultados comerciales"/>
    <x v="2"/>
    <m/>
    <s v="No"/>
    <s v="Vendedor/vendedora"/>
    <n v="5223"/>
    <s v="Asistentes de venta de tiendas y almacenes"/>
  </r>
  <r>
    <n v="1118028828"/>
    <s v="Búsqueda Laboral: Modelista – Vicente López (Flori"/>
    <s v="DECLARADA"/>
    <s v="Lectra"/>
    <s v="utilizar software diseño patrones"/>
    <x v="2"/>
    <s v="Software Textil"/>
    <s v="Sí"/>
    <s v="Diseñador de modelos para moldes"/>
    <n v="7222"/>
    <s v="Herramentistas y afines"/>
  </r>
  <r>
    <n v="1118028828"/>
    <s v="Búsqueda Laboral: Modelista – Vicente López (Flori"/>
    <s v="DECLARADA"/>
    <s v="trabajo en equipo"/>
    <s v="trabajar en equipo"/>
    <x v="0"/>
    <s v="Colaboración"/>
    <s v="No"/>
    <s v="Diseñador de modelos para moldes"/>
    <n v="7222"/>
    <s v="Herramentistas y afines"/>
  </r>
  <r>
    <n v="1118028828"/>
    <s v="Búsqueda Laboral: Modelista – Vicente López (Flori"/>
    <s v="IMPLÍCITA"/>
    <s v="Desarrollar moldería según diseño"/>
    <s v="desarrollar moldes de prendas"/>
    <x v="2"/>
    <m/>
    <s v="No"/>
    <s v="Diseñador de modelos para moldes"/>
    <n v="7222"/>
    <s v="Herramentistas y afines"/>
  </r>
  <r>
    <n v="1118028828"/>
    <s v="Búsqueda Laboral: Modelista – Vicente López (Flori"/>
    <s v="IMPLÍCITA"/>
    <s v="Desarrollar moldería según diseño"/>
    <s v="interpretar diseños de moda"/>
    <x v="2"/>
    <m/>
    <s v="No"/>
    <s v="Diseñador de modelos para moldes"/>
    <n v="7222"/>
    <s v="Herramentistas y afines"/>
  </r>
  <r>
    <n v="1118028828"/>
    <s v="Búsqueda Laboral: Modelista – Vicente López (Flori"/>
    <s v="IMPLÍCITA"/>
    <s v="Pruebas de calce junto al equipo"/>
    <s v="realizar pruebas de ajuste"/>
    <x v="2"/>
    <m/>
    <s v="No"/>
    <s v="Diseñador de modelos para moldes"/>
    <n v="7222"/>
    <s v="Herramentistas y afines"/>
  </r>
  <r>
    <n v="1118028828"/>
    <s v="Búsqueda Laboral: Modelista – Vicente López (Flori"/>
    <s v="IMPLÍCITA"/>
    <s v="Pruebas de calce junto al equipo"/>
    <s v="identificar problemas de calce"/>
    <x v="2"/>
    <m/>
    <s v="No"/>
    <s v="Diseñador de modelos para moldes"/>
    <n v="7222"/>
    <s v="Herramentistas y afines"/>
  </r>
  <r>
    <n v="1118028828"/>
    <s v="Búsqueda Laboral: Modelista – Vicente López (Flori"/>
    <s v="IMPLÍCITA"/>
    <s v="Realizar ajustes necesarios"/>
    <s v="modificar patrones"/>
    <x v="2"/>
    <m/>
    <s v="No"/>
    <s v="Diseñador de modelos para moldes"/>
    <n v="7222"/>
    <s v="Herramentistas y afines"/>
  </r>
  <r>
    <n v="1118028828"/>
    <s v="Búsqueda Laboral: Modelista – Vicente López (Flori"/>
    <s v="IMPLÍCITA"/>
    <s v="Realizar ajustes necesarios"/>
    <s v="aplicar técnicas de corte y confección"/>
    <x v="2"/>
    <m/>
    <s v="No"/>
    <s v="Diseñador de modelos para moldes"/>
    <n v="7222"/>
    <s v="Herramentistas y afines"/>
  </r>
  <r>
    <n v="1118028828"/>
    <s v="Búsqueda Laboral: Modelista – Vicente López (Flori"/>
    <s v="IMPLÍCITA"/>
    <s v="Desarrollar progresiones de moldería"/>
    <s v="escalar patrones por tallas"/>
    <x v="2"/>
    <m/>
    <s v="No"/>
    <s v="Diseñador de modelos para moldes"/>
    <n v="7222"/>
    <s v="Herramentistas y afines"/>
  </r>
  <r>
    <n v="1118028828"/>
    <s v="Búsqueda Laboral: Modelista – Vicente López (Flori"/>
    <s v="IMPLÍCITA"/>
    <s v="Desarrollar progresiones de moldería"/>
    <s v="aplicar proporciones de escalado"/>
    <x v="2"/>
    <m/>
    <s v="No"/>
    <s v="Diseñador de modelos para moldes"/>
    <n v="7222"/>
    <s v="Herramentistas y afines"/>
  </r>
  <r>
    <n v="1118028828"/>
    <s v="Búsqueda Laboral: Modelista – Vicente López (Flori"/>
    <s v="IMPLÍCITA"/>
    <s v="Especificar avíos según género y prototipo"/>
    <s v="seleccionar materiales y accesorios"/>
    <x v="2"/>
    <m/>
    <s v="No"/>
    <s v="Diseñador de modelos para moldes"/>
    <n v="7222"/>
    <s v="Herramentistas y afines"/>
  </r>
  <r>
    <n v="1118028828"/>
    <s v="Búsqueda Laboral: Modelista – Vicente López (Flori"/>
    <s v="IMPLÍCITA"/>
    <s v="Especificar avíos según género y prototipo"/>
    <s v="conocer propiedades de textiles"/>
    <x v="2"/>
    <m/>
    <s v="No"/>
    <s v="Diseñador de modelos para moldes"/>
    <n v="7222"/>
    <s v="Herramentistas y afines"/>
  </r>
  <r>
    <n v="1118028828"/>
    <s v="Búsqueda Laboral: Modelista – Vicente López (Flori"/>
    <s v="IMPLÍCITA"/>
    <s v="Pruebas de comportamiento de géneros"/>
    <s v="evaluar comportamiento de telas"/>
    <x v="2"/>
    <m/>
    <s v="No"/>
    <s v="Diseñador de modelos para moldes"/>
    <n v="7222"/>
    <s v="Herramentistas y afines"/>
  </r>
  <r>
    <n v="1118028828"/>
    <s v="Búsqueda Laboral: Modelista – Vicente López (Flori"/>
    <s v="IMPLÍCITA"/>
    <s v="Pruebas de comportamiento de géneros"/>
    <s v="documentar resultados de pruebas"/>
    <x v="2"/>
    <m/>
    <s v="No"/>
    <s v="Diseñador de modelos para moldes"/>
    <n v="7222"/>
    <s v="Herramentistas y afines"/>
  </r>
  <r>
    <n v="1118028828"/>
    <s v="Búsqueda Laboral: Modelista – Vicente López (Flori"/>
    <s v="IMPLÍCITA"/>
    <s v="Entregar documentación a Producción"/>
    <s v="elaborar fichas técnicas"/>
    <x v="2"/>
    <m/>
    <s v="No"/>
    <s v="Diseñador de modelos para moldes"/>
    <n v="7222"/>
    <s v="Herramentistas y afines"/>
  </r>
  <r>
    <n v="1118028828"/>
    <s v="Búsqueda Laboral: Modelista – Vicente López (Flori"/>
    <s v="IMPLÍCITA"/>
    <s v="Entregar documentación a Producción"/>
    <s v="gestionar tiempos de entrega"/>
    <x v="1"/>
    <m/>
    <s v="No"/>
    <s v="Diseñador de modelos para moldes"/>
    <n v="7222"/>
    <s v="Herramentistas y afines"/>
  </r>
  <r>
    <n v="1118028828"/>
    <s v="Búsqueda Laboral: Modelista – Vicente López (Flori"/>
    <s v="IMPLÍCITA"/>
    <s v="Armado de muestrario para Comercial"/>
    <s v="preparar muestras de productos"/>
    <x v="2"/>
    <m/>
    <s v="No"/>
    <s v="Diseñador de modelos para moldes"/>
    <n v="7222"/>
    <s v="Herramentistas y afines"/>
  </r>
  <r>
    <n v="1118028828"/>
    <s v="Búsqueda Laboral: Modelista – Vicente López (Flori"/>
    <s v="IMPLÍCITA"/>
    <s v="Armado de muestrario para Comercial"/>
    <s v="coordinar con área comercial"/>
    <x v="0"/>
    <m/>
    <s v="No"/>
    <s v="Diseñador de modelos para moldes"/>
    <n v="7222"/>
    <s v="Herramentistas y afines"/>
  </r>
  <r>
    <n v="1118028833"/>
    <s v="Asesor Comercial Plan de Ahorro - Volkswagen"/>
    <s v="DECLARADA"/>
    <s v="iniciativa"/>
    <s v="mostrar iniciativa"/>
    <x v="0"/>
    <s v="Iniciativa"/>
    <s v="No"/>
    <s v="Representante comercial"/>
    <n v="3322"/>
    <s v="Representantes comerciales"/>
  </r>
  <r>
    <n v="1118028833"/>
    <s v="Asesor Comercial Plan de Ahorro - Volkswagen"/>
    <s v="DECLARADA"/>
    <s v="orientación al resultado"/>
    <s v="orientación a resultados"/>
    <x v="0"/>
    <s v="Orientación Resultados"/>
    <s v="No"/>
    <s v="Representante comercial"/>
    <n v="3322"/>
    <s v="Representantes comerciales"/>
  </r>
  <r>
    <n v="1118028833"/>
    <s v="Asesor Comercial Plan de Ahorro - Volkswagen"/>
    <s v="DECLARADA"/>
    <s v="excelencia en lo que hacemos"/>
    <s v="buscar excelencia"/>
    <x v="0"/>
    <s v="Excelencia"/>
    <s v="No"/>
    <s v="Representante comercial"/>
    <n v="3322"/>
    <s v="Representantes comerciales"/>
  </r>
  <r>
    <n v="1118028833"/>
    <s v="Asesor Comercial Plan de Ahorro - Volkswagen"/>
    <s v="DECLARADA"/>
    <s v="orientación al cliente"/>
    <s v="prestar atención al cliente"/>
    <x v="4"/>
    <s v="Orientación Cliente"/>
    <s v="No"/>
    <s v="Representante comercial"/>
    <n v="3322"/>
    <s v="Representantes comerciales"/>
  </r>
  <r>
    <n v="1118028833"/>
    <s v="Asesor Comercial Plan de Ahorro - Volkswagen"/>
    <s v="DECLARADA"/>
    <s v="trabajo en equipo"/>
    <s v="trabajar en equipo"/>
    <x v="0"/>
    <s v="Colaboración"/>
    <s v="No"/>
    <s v="Representante comercial"/>
    <n v="3322"/>
    <s v="Representantes comerciales"/>
  </r>
  <r>
    <n v="1118028833"/>
    <s v="Asesor Comercial Plan de Ahorro - Volkswagen"/>
    <s v="IMPLÍCITA"/>
    <s v="Optimización de datos para concreción de ventas"/>
    <s v="gestionar información de clientes"/>
    <x v="2"/>
    <m/>
    <s v="No"/>
    <s v="Representante comercial"/>
    <n v="3322"/>
    <s v="Representantes comerciales"/>
  </r>
  <r>
    <n v="1118028833"/>
    <s v="Asesor Comercial Plan de Ahorro - Volkswagen"/>
    <s v="IMPLÍCITA"/>
    <s v="Optimización de datos para concreción de ventas"/>
    <s v="utilizar sistemas de gestión"/>
    <x v="3"/>
    <m/>
    <s v="Sí"/>
    <s v="Representante comercial"/>
    <n v="3322"/>
    <s v="Representantes comerciales"/>
  </r>
  <r>
    <n v="1118028833"/>
    <s v="Asesor Comercial Plan de Ahorro - Volkswagen"/>
    <s v="IMPLÍCITA"/>
    <s v="Optimización de datos para concreción de ventas"/>
    <s v="analizar datos de prospectos"/>
    <x v="2"/>
    <m/>
    <s v="No"/>
    <s v="Representante comercial"/>
    <n v="3322"/>
    <s v="Representantes comerciales"/>
  </r>
  <r>
    <n v="1118028833"/>
    <s v="Asesor Comercial Plan de Ahorro - Volkswagen"/>
    <s v="IMPLÍCITA"/>
    <s v="Detección de oportunidades de negocio"/>
    <s v="identificar oportunidades de venta"/>
    <x v="2"/>
    <m/>
    <s v="No"/>
    <s v="Representante comercial"/>
    <n v="3322"/>
    <s v="Representantes comerciales"/>
  </r>
  <r>
    <n v="1118028833"/>
    <s v="Asesor Comercial Plan de Ahorro - Volkswagen"/>
    <s v="IMPLÍCITA"/>
    <s v="Detección de oportunidades de negocio"/>
    <s v="aplicar técnicas de venta consultiva"/>
    <x v="2"/>
    <m/>
    <s v="No"/>
    <s v="Representante comercial"/>
    <n v="3322"/>
    <s v="Representantes comerciales"/>
  </r>
  <r>
    <n v="1118028833"/>
    <s v="Asesor Comercial Plan de Ahorro - Volkswagen"/>
    <s v="IMPLÍCITA"/>
    <s v="Cumplimiento de objetivos comerciales"/>
    <s v="gestionar cartera de clientes"/>
    <x v="2"/>
    <m/>
    <s v="No"/>
    <s v="Representante comercial"/>
    <n v="3322"/>
    <s v="Representantes comerciales"/>
  </r>
  <r>
    <n v="1118028833"/>
    <s v="Asesor Comercial Plan de Ahorro - Volkswagen"/>
    <s v="IMPLÍCITA"/>
    <s v="Cumplimiento de objetivos comerciales"/>
    <s v="aplicar técnicas de cierre de ventas"/>
    <x v="2"/>
    <m/>
    <s v="No"/>
    <s v="Representante comercial"/>
    <n v="3322"/>
    <s v="Representantes comerciales"/>
  </r>
  <r>
    <n v="1118028833"/>
    <s v="Asesor Comercial Plan de Ahorro - Volkswagen"/>
    <s v="IMPLÍCITA"/>
    <s v="Cumplimiento de objetivos comerciales"/>
    <s v="negociar condiciones de venta"/>
    <x v="2"/>
    <m/>
    <s v="No"/>
    <s v="Representante comercial"/>
    <n v="3322"/>
    <s v="Representantes comerciales"/>
  </r>
  <r>
    <n v="1118028887"/>
    <s v="Account Executive (Hunter)"/>
    <s v="DECLARADA"/>
    <s v="mentalidad orientada a resultados"/>
    <s v="orientación a resultados"/>
    <x v="0"/>
    <s v="Orientación Resultados"/>
    <s v="No"/>
    <s v="Agente de empleo"/>
    <n v="3333"/>
    <s v="Agentes de empleo y contratistas de mano de obra"/>
  </r>
  <r>
    <n v="1118028887"/>
    <s v="Account Executive (Hunter)"/>
    <s v="DECLARADA"/>
    <s v="habilidades de negociación"/>
    <s v="aplicar técnicas negociación"/>
    <x v="0"/>
    <s v="Negociación"/>
    <s v="No"/>
    <s v="Agente de empleo"/>
    <n v="3333"/>
    <s v="Agentes de empleo y contratistas de mano de obra"/>
  </r>
  <r>
    <n v="1118028887"/>
    <s v="Account Executive (Hunter)"/>
    <s v="IMPLÍCITA"/>
    <s v="Identificar oportunidades de negocio"/>
    <s v="investigar mercado objetivo"/>
    <x v="2"/>
    <m/>
    <s v="No"/>
    <s v="Agente de empleo"/>
    <n v="3333"/>
    <s v="Agentes de empleo y contratistas de mano de obra"/>
  </r>
  <r>
    <n v="1118028887"/>
    <s v="Account Executive (Hunter)"/>
    <s v="IMPLÍCITA"/>
    <s v="Identificar oportunidades de negocio"/>
    <s v="identificar clientes potenciales"/>
    <x v="2"/>
    <m/>
    <s v="No"/>
    <s v="Agente de empleo"/>
    <n v="3333"/>
    <s v="Agentes de empleo y contratistas de mano de obra"/>
  </r>
  <r>
    <n v="1118028887"/>
    <s v="Account Executive (Hunter)"/>
    <s v="IMPLÍCITA"/>
    <s v="Identificar oportunidades de negocio"/>
    <s v="utilizar LinkedIn para prospección"/>
    <x v="3"/>
    <m/>
    <s v="Sí"/>
    <s v="Agente de empleo"/>
    <n v="3333"/>
    <s v="Agentes de empleo y contratistas de mano de obra"/>
  </r>
  <r>
    <n v="1118028887"/>
    <s v="Account Executive (Hunter)"/>
    <s v="IMPLÍCITA"/>
    <s v="Elaborar propuestas comerciales"/>
    <s v="crear propuestas de valor"/>
    <x v="2"/>
    <m/>
    <s v="No"/>
    <s v="Agente de empleo"/>
    <n v="3333"/>
    <s v="Agentes de empleo y contratistas de mano de obra"/>
  </r>
  <r>
    <n v="1118028887"/>
    <s v="Account Executive (Hunter)"/>
    <s v="IMPLÍCITA"/>
    <s v="Elaborar propuestas comerciales"/>
    <s v="utilizar software de presentaciones"/>
    <x v="3"/>
    <m/>
    <s v="Sí"/>
    <s v="Agente de empleo"/>
    <n v="3333"/>
    <s v="Agentes de empleo y contratistas de mano de obra"/>
  </r>
  <r>
    <n v="1118028887"/>
    <s v="Account Executive (Hunter)"/>
    <s v="IMPLÍCITA"/>
    <s v="Elaborar propuestas comerciales"/>
    <s v="calcular ROI para clientes"/>
    <x v="2"/>
    <m/>
    <s v="No"/>
    <s v="Agente de empleo"/>
    <n v="3333"/>
    <s v="Agentes de empleo y contratistas de mano de obra"/>
  </r>
  <r>
    <n v="1118028887"/>
    <s v="Account Executive (Hunter)"/>
    <s v="IMPLÍCITA"/>
    <s v="Mantener comunicación con clientes"/>
    <s v="gestionar relaciones comerciales"/>
    <x v="2"/>
    <m/>
    <s v="No"/>
    <s v="Agente de empleo"/>
    <n v="3333"/>
    <s v="Agentes de empleo y contratistas de mano de obra"/>
  </r>
  <r>
    <n v="1118028887"/>
    <s v="Account Executive (Hunter)"/>
    <s v="IMPLÍCITA"/>
    <s v="Mantener comunicación con clientes"/>
    <s v="utilizar software CRM"/>
    <x v="3"/>
    <m/>
    <s v="Sí"/>
    <s v="Agente de empleo"/>
    <n v="3333"/>
    <s v="Agentes de empleo y contratistas de mano de obra"/>
  </r>
  <r>
    <n v="1118028887"/>
    <s v="Account Executive (Hunter)"/>
    <s v="IMPLÍCITA"/>
    <s v="Mantener comunicación con clientes"/>
    <s v="dar seguimiento a prospectos"/>
    <x v="2"/>
    <m/>
    <s v="No"/>
    <s v="Agente de empleo"/>
    <n v="3333"/>
    <s v="Agentes de empleo y contratistas de mano de obra"/>
  </r>
  <r>
    <n v="1118028891"/>
    <s v="auxiliar contable"/>
    <s v="DECLARADA"/>
    <s v="proactivo"/>
    <s v="mostrar iniciativa"/>
    <x v="0"/>
    <s v="Iniciativa"/>
    <s v="No"/>
    <s v="Administrativo contable/administrativa contable"/>
    <n v="3313"/>
    <s v="Tenedores de libros"/>
  </r>
  <r>
    <n v="1118028891"/>
    <s v="auxiliar contable"/>
    <s v="DECLARADA"/>
    <s v="iniciativa"/>
    <s v="mostrar iniciativa"/>
    <x v="0"/>
    <s v="Iniciativa"/>
    <s v="No"/>
    <s v="Administrativo contable/administrativa contable"/>
    <n v="3313"/>
    <s v="Tenedores de libros"/>
  </r>
  <r>
    <n v="1118028891"/>
    <s v="auxiliar contable"/>
    <s v="IMPLÍCITA"/>
    <s v="Gestión integral de caja diaria y fondos fijos"/>
    <s v="llevar la contabilidad"/>
    <x v="2"/>
    <m/>
    <s v="No"/>
    <s v="Administrativo contable/administrativa contable"/>
    <n v="3313"/>
    <s v="Tenedores de libros"/>
  </r>
  <r>
    <n v="1118028891"/>
    <s v="auxiliar contable"/>
    <s v="IMPLÍCITA"/>
    <s v="Gestión integral de caja diaria y fondos fijos"/>
    <s v="gestionar caja registradora"/>
    <x v="2"/>
    <m/>
    <s v="No"/>
    <s v="Administrativo contable/administrativa contable"/>
    <n v="3313"/>
    <s v="Tenedores de libros"/>
  </r>
  <r>
    <n v="1118028891"/>
    <s v="auxiliar contable"/>
    <s v="IMPLÍCITA"/>
    <s v="Gestión integral de caja diaria y fondos fijos"/>
    <s v="controlar fondos fijos"/>
    <x v="2"/>
    <m/>
    <s v="No"/>
    <s v="Administrativo contable/administrativa contable"/>
    <n v="3313"/>
    <s v="Tenedores de libros"/>
  </r>
  <r>
    <n v="1118028891"/>
    <s v="auxiliar contable"/>
    <s v="IMPLÍCITA"/>
    <s v="Administración de cobranzas, pagos y depósitos"/>
    <s v="gestionar cobranzas"/>
    <x v="2"/>
    <m/>
    <s v="No"/>
    <s v="Administrativo contable/administrativa contable"/>
    <n v="3313"/>
    <s v="Tenedores de libros"/>
  </r>
  <r>
    <n v="1118028891"/>
    <s v="auxiliar contable"/>
    <s v="IMPLÍCITA"/>
    <s v="Administración de cobranzas, pagos y depósitos"/>
    <s v="realizar depósitos bancarios"/>
    <x v="2"/>
    <m/>
    <s v="No"/>
    <s v="Administrativo contable/administrativa contable"/>
    <n v="3313"/>
    <s v="Tenedores de libros"/>
  </r>
  <r>
    <n v="1118028891"/>
    <s v="auxiliar contable"/>
    <s v="IMPLÍCITA"/>
    <s v="Administración de cobranzas, pagos y depósitos"/>
    <s v="conciliar cuentas"/>
    <x v="2"/>
    <m/>
    <s v="No"/>
    <s v="Administrativo contable/administrativa contable"/>
    <n v="3313"/>
    <s v="Tenedores de libros"/>
  </r>
  <r>
    <n v="1118028891"/>
    <s v="auxiliar contable"/>
    <s v="IMPLÍCITA"/>
    <s v="Control y registro de facturas, proveedores"/>
    <s v="procesar facturas"/>
    <x v="2"/>
    <m/>
    <s v="No"/>
    <s v="Administrativo contable/administrativa contable"/>
    <n v="3313"/>
    <s v="Tenedores de libros"/>
  </r>
  <r>
    <n v="1118028891"/>
    <s v="auxiliar contable"/>
    <s v="IMPLÍCITA"/>
    <s v="Control y registro de facturas, proveedores"/>
    <s v="gestionar base de proveedores"/>
    <x v="2"/>
    <m/>
    <s v="No"/>
    <s v="Administrativo contable/administrativa contable"/>
    <n v="3313"/>
    <s v="Tenedores de libros"/>
  </r>
  <r>
    <n v="1118028891"/>
    <s v="auxiliar contable"/>
    <s v="IMPLÍCITA"/>
    <s v="Control y registro de facturas, proveedores"/>
    <s v="utilizar sistemas contables"/>
    <x v="3"/>
    <m/>
    <s v="Sí"/>
    <s v="Administrativo contable/administrativa contable"/>
    <n v="3313"/>
    <s v="Tenedores de libros"/>
  </r>
  <r>
    <n v="1118028891"/>
    <s v="auxiliar contable"/>
    <s v="IMPLÍCITA"/>
    <s v="Análisis de cuentas contables para cierres"/>
    <s v="realizar análisis financiero"/>
    <x v="2"/>
    <m/>
    <s v="No"/>
    <s v="Administrativo contable/administrativa contable"/>
    <n v="3313"/>
    <s v="Tenedores de libros"/>
  </r>
  <r>
    <n v="1118028891"/>
    <s v="auxiliar contable"/>
    <s v="IMPLÍCITA"/>
    <s v="Análisis de cuentas contables para cierres"/>
    <s v="preparar cierres contables"/>
    <x v="2"/>
    <m/>
    <s v="No"/>
    <s v="Administrativo contable/administrativa contable"/>
    <n v="3313"/>
    <s v="Tenedores de libros"/>
  </r>
  <r>
    <n v="1118028891"/>
    <s v="auxiliar contable"/>
    <s v="IMPLÍCITA"/>
    <s v="Análisis de cuentas contables para cierres"/>
    <s v="utilizar software de hojas de cálculo"/>
    <x v="3"/>
    <m/>
    <s v="Sí"/>
    <s v="Administrativo contable/administrativa contable"/>
    <n v="3313"/>
    <s v="Tenedores de libros"/>
  </r>
  <r>
    <n v="1118028891"/>
    <s v="auxiliar contable"/>
    <s v="IMPLÍCITA"/>
    <s v="Emisión de pagos, notas de débito"/>
    <s v="emitir órdenes de pago"/>
    <x v="2"/>
    <m/>
    <s v="No"/>
    <s v="Administrativo contable/administrativa contable"/>
    <n v="3313"/>
    <s v="Tenedores de libros"/>
  </r>
  <r>
    <n v="1118028891"/>
    <s v="auxiliar contable"/>
    <s v="IMPLÍCITA"/>
    <s v="Emisión de pagos, notas de débito"/>
    <s v="generar documentación contable"/>
    <x v="2"/>
    <m/>
    <s v="No"/>
    <s v="Administrativo contable/administrativa contable"/>
    <n v="3313"/>
    <s v="Tenedores de libros"/>
  </r>
  <r>
    <n v="1118028891"/>
    <s v="auxiliar contable"/>
    <s v="IMPLÍCITA"/>
    <s v="Conciliaciones bancarias"/>
    <s v="realizar conciliaciones bancarias"/>
    <x v="2"/>
    <m/>
    <s v="No"/>
    <s v="Administrativo contable/administrativa contable"/>
    <n v="3313"/>
    <s v="Tenedores de libros"/>
  </r>
  <r>
    <n v="1118028891"/>
    <s v="auxiliar contable"/>
    <s v="IMPLÍCITA"/>
    <s v="Conciliaciones bancarias"/>
    <s v="verificar movimientos bancarios"/>
    <x v="2"/>
    <m/>
    <s v="No"/>
    <s v="Administrativo contable/administrativa contable"/>
    <n v="3313"/>
    <s v="Tenedores de libros"/>
  </r>
  <r>
    <n v="1118028891"/>
    <s v="auxiliar contable"/>
    <s v="IMPLÍCITA"/>
    <s v="Manejo de cheques"/>
    <s v="gestionar cheques"/>
    <x v="2"/>
    <m/>
    <s v="No"/>
    <s v="Administrativo contable/administrativa contable"/>
    <n v="3313"/>
    <s v="Tenedores de libros"/>
  </r>
  <r>
    <n v="1118028891"/>
    <s v="auxiliar contable"/>
    <s v="IMPLÍCITA"/>
    <s v="Manejo de cheques"/>
    <s v="registrar rechazos bancarios"/>
    <x v="2"/>
    <m/>
    <s v="No"/>
    <s v="Administrativo contable/administrativa contable"/>
    <n v="3313"/>
    <s v="Tenedores de libros"/>
  </r>
  <r>
    <n v="1118031991"/>
    <s v="ASESOR DE VENTAS DIRECTAS"/>
    <s v="DECLARADA"/>
    <s v="trabajo en equipo"/>
    <s v="trabajar en equipo"/>
    <x v="0"/>
    <s v="Colaboración"/>
    <s v="No"/>
    <s v="Vendedor/vendedora"/>
    <n v="5223"/>
    <s v="Asistentes de venta de tiendas y almacenes"/>
  </r>
  <r>
    <m/>
    <m/>
    <m/>
    <m/>
    <m/>
    <x v="8"/>
    <m/>
    <m/>
    <m/>
    <m/>
    <m/>
  </r>
  <r>
    <m/>
    <m/>
    <m/>
    <m/>
    <m/>
    <x v="8"/>
    <m/>
    <m/>
    <m/>
    <m/>
    <m/>
  </r>
  <r>
    <m/>
    <m/>
    <m/>
    <m/>
    <m/>
    <x v="8"/>
    <m/>
    <m/>
    <m/>
    <m/>
    <m/>
  </r>
  <r>
    <m/>
    <m/>
    <m/>
    <m/>
    <m/>
    <x v="8"/>
    <m/>
    <m/>
    <m/>
    <m/>
    <m/>
  </r>
  <r>
    <m/>
    <m/>
    <m/>
    <m/>
    <m/>
    <x v="8"/>
    <m/>
    <m/>
    <m/>
    <m/>
    <m/>
  </r>
  <r>
    <m/>
    <m/>
    <m/>
    <m/>
    <m/>
    <x v="8"/>
    <m/>
    <m/>
    <m/>
    <m/>
    <m/>
  </r>
  <r>
    <m/>
    <m/>
    <m/>
    <m/>
    <m/>
    <x v="8"/>
    <m/>
    <m/>
    <m/>
    <m/>
    <m/>
  </r>
  <r>
    <m/>
    <m/>
    <m/>
    <m/>
    <m/>
    <x v="8"/>
    <m/>
    <m/>
    <m/>
    <m/>
    <m/>
  </r>
  <r>
    <m/>
    <m/>
    <m/>
    <m/>
    <m/>
    <x v="8"/>
    <m/>
    <m/>
    <m/>
    <m/>
    <m/>
  </r>
  <r>
    <m/>
    <m/>
    <m/>
    <m/>
    <m/>
    <x v="8"/>
    <m/>
    <m/>
    <m/>
    <m/>
    <m/>
  </r>
  <r>
    <m/>
    <m/>
    <m/>
    <m/>
    <m/>
    <x v="8"/>
    <m/>
    <m/>
    <m/>
    <m/>
    <m/>
  </r>
  <r>
    <m/>
    <m/>
    <m/>
    <m/>
    <m/>
    <x v="8"/>
    <m/>
    <m/>
    <m/>
    <m/>
    <m/>
  </r>
  <r>
    <m/>
    <m/>
    <m/>
    <m/>
    <m/>
    <x v="8"/>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
  <r>
    <s v="VENDEDOR DE REPUESTOS AUTOMOTOR"/>
    <s v="paquete office"/>
    <x v="0"/>
    <s v="S5 - Digital"/>
    <s v="Software Ofimático"/>
    <s v="Sí"/>
    <x v="0"/>
    <s v="Vendedor de piezas de repuesto de automóviles"/>
    <n v="5223"/>
    <s v="Asistentes de venta de tiendas y almacenes"/>
  </r>
  <r>
    <s v="VENDEDOR DE REPUESTOS AUTOMOTOR"/>
    <s v="canales de venta online"/>
    <x v="1"/>
    <s v="S5 - Digital"/>
    <s v="E-commerce"/>
    <s v="Sí"/>
    <x v="0"/>
    <s v="Vendedor de piezas de repuesto de automóviles"/>
    <n v="5223"/>
    <s v="Asistentes de venta de tiendas y almacenes"/>
  </r>
  <r>
    <s v="VENDEDOR DE REPUESTOS AUTOMOTOR"/>
    <s v="computación en general"/>
    <x v="2"/>
    <s v="S5 - Digital"/>
    <s v="Informática General"/>
    <s v="Sí"/>
    <x v="0"/>
    <s v="Vendedor de piezas de repuesto de automóviles"/>
    <n v="5223"/>
    <s v="Asistentes de venta de tiendas y almacenes"/>
  </r>
  <r>
    <s v="VENDEDOR DE REPUESTOS AUTOMOTOR"/>
    <s v="trabajo en equipo"/>
    <x v="3"/>
    <s v="T - Transversales"/>
    <s v="Colaboración"/>
    <s v="No"/>
    <x v="1"/>
    <s v="Vendedor de piezas de repuesto de automóviles"/>
    <n v="5223"/>
    <s v="Asistentes de venta de tiendas y almacenes"/>
  </r>
  <r>
    <s v="VENDEDOR DE REPUESTOS AUTOMOTOR"/>
    <s v="comunicacion"/>
    <x v="4"/>
    <s v="T - Transversales"/>
    <s v="Comunicación"/>
    <s v="No"/>
    <x v="1"/>
    <s v="Vendedor de piezas de repuesto de automóviles"/>
    <n v="5223"/>
    <s v="Asistentes de venta de tiendas y almacenes"/>
  </r>
  <r>
    <s v="Responsable de Deposito"/>
    <s v="inventarios"/>
    <x v="5"/>
    <s v="S4 - Gestión"/>
    <s v="Gestión Logística"/>
    <s v="No"/>
    <x v="2"/>
    <s v="Encargado de relaciones públicas"/>
    <n v="2432"/>
    <s v="Profesionales de relaciones públicas"/>
  </r>
  <r>
    <s v="Responsable de Deposito"/>
    <s v="facturación"/>
    <x v="6"/>
    <s v="S4 - Gestión"/>
    <s v="Administración"/>
    <s v="No"/>
    <x v="2"/>
    <s v="Encargado de relaciones públicas"/>
    <n v="2432"/>
    <s v="Profesionales de relaciones públicas"/>
  </r>
  <r>
    <s v="Responsable de Deposito"/>
    <s v="cierres administrativos"/>
    <x v="7"/>
    <s v="S4 - Gestión"/>
    <s v="Administración"/>
    <s v="No"/>
    <x v="2"/>
    <s v="Encargado de relaciones públicas"/>
    <n v="2432"/>
    <s v="Profesionales de relaciones públicas"/>
  </r>
  <r>
    <s v="Responsable de Deposito"/>
    <s v="liderar y motivar equipos"/>
    <x v="8"/>
    <s v="T - Transversales"/>
    <s v="Liderazgo"/>
    <s v="No"/>
    <x v="1"/>
    <s v="Encargado de relaciones públicas"/>
    <n v="2432"/>
    <s v="Profesionales de relaciones públicas"/>
  </r>
  <r>
    <s v="Responsable de Deposito"/>
    <s v="buenas capacidades de comunicación"/>
    <x v="4"/>
    <s v="T - Transversales"/>
    <s v="Comunicación"/>
    <s v="No"/>
    <x v="1"/>
    <s v="Encargado de relaciones públicas"/>
    <n v="2432"/>
    <s v="Profesionales de relaciones públicas"/>
  </r>
  <r>
    <s v="Responsable de Deposito"/>
    <s v="autogestivo"/>
    <x v="9"/>
    <s v="T - Transversales"/>
    <s v="Autonomía"/>
    <s v="No"/>
    <x v="1"/>
    <s v="Encargado de relaciones públicas"/>
    <n v="2432"/>
    <s v="Profesionales de relaciones públicas"/>
  </r>
  <r>
    <s v="Supervisor de Limpieza"/>
    <s v="paquete office"/>
    <x v="0"/>
    <s v="S5 - Digital"/>
    <s v="Software Ofimático"/>
    <s v="Sí"/>
    <x v="0"/>
    <s v="Supervisor de servicio de limpieza"/>
    <n v="5151"/>
    <s v="Supervisores de mantenimiento y limpieza"/>
  </r>
  <r>
    <s v="Ejecutivo de Cuentas SSR/SR"/>
    <s v="CRM"/>
    <x v="10"/>
    <s v="S5 - Digital"/>
    <s v="Sistemas CRM"/>
    <s v="Sí"/>
    <x v="0"/>
    <s v="Técnico de contadores eléctricos"/>
    <n v="7411"/>
    <s v="Electricistas de obras y afines"/>
  </r>
  <r>
    <s v="Ejecutivo de Cuentas SSR/SR"/>
    <s v="Táctica Soft"/>
    <x v="10"/>
    <s v="S5 - Digital"/>
    <s v="Sistemas CRM"/>
    <s v="Sí"/>
    <x v="0"/>
    <s v="Técnico de contadores eléctricos"/>
    <n v="7411"/>
    <s v="Electricistas de obras y afines"/>
  </r>
  <r>
    <s v="Ejecutivo de Cuentas SSR/SR"/>
    <s v="comunicación"/>
    <x v="4"/>
    <s v="T - Transversales"/>
    <s v="Comunicación"/>
    <s v="No"/>
    <x v="1"/>
    <s v="Técnico de contadores eléctricos"/>
    <n v="7411"/>
    <s v="Electricistas de obras y afines"/>
  </r>
  <r>
    <s v="Ejecutivo de Cuentas SSR/SR"/>
    <s v="autonomía"/>
    <x v="9"/>
    <s v="T - Transversales"/>
    <s v="Autonomía"/>
    <s v="No"/>
    <x v="1"/>
    <s v="Técnico de contadores eléctricos"/>
    <n v="7411"/>
    <s v="Electricistas de obras y afines"/>
  </r>
  <r>
    <s v="Farmacéutico/a para farmacias en Rio Cuarto"/>
    <s v="vocación de servicio"/>
    <x v="11"/>
    <s v="S3 - Asistencia"/>
    <s v="Orientación Cliente"/>
    <s v="No"/>
    <x v="3"/>
    <s v="Farmacéutico/farmacéutica"/>
    <n v="2262"/>
    <s v="Farmacéuticos"/>
  </r>
  <r>
    <s v="Farmacéutico/a para farmacias en Rio Cuarto"/>
    <s v="compromiso con la excelencia y el cuidado del paciente"/>
    <x v="12"/>
    <s v="S3 - Asistencia"/>
    <s v="Atención Paciente"/>
    <s v="No"/>
    <x v="3"/>
    <s v="Farmacéutico/farmacéutica"/>
    <n v="2262"/>
    <s v="Farmacéuticos"/>
  </r>
  <r>
    <s v="Vendedora Digital / Atención al Cliente"/>
    <s v="herramientas informáticas"/>
    <x v="2"/>
    <s v="S5 - Digital"/>
    <s v="Informática General"/>
    <s v="Sí"/>
    <x v="0"/>
    <s v="Vendedor especializado/vendedora especializada"/>
    <n v="5223"/>
    <s v="Asistentes de venta de tiendas y almacenes"/>
  </r>
  <r>
    <s v="Vendedora Digital / Atención al Cliente"/>
    <s v="sistema CRM"/>
    <x v="10"/>
    <s v="S5 - Digital"/>
    <s v="Sistemas CRM"/>
    <s v="Sí"/>
    <x v="0"/>
    <s v="Vendedor especializado/vendedora especializada"/>
    <n v="5223"/>
    <s v="Asistentes de venta de tiendas y almacenes"/>
  </r>
  <r>
    <s v="Vendedora Digital / Atención al Cliente"/>
    <s v="comunicación"/>
    <x v="4"/>
    <s v="T - Transversales"/>
    <s v="Comunicación"/>
    <s v="No"/>
    <x v="1"/>
    <s v="Vendedor especializado/vendedora especializada"/>
    <n v="5223"/>
    <s v="Asistentes de venta de tiendas y almacenes"/>
  </r>
  <r>
    <s v="Vendedora Digital / Atención al Cliente"/>
    <s v="negociación"/>
    <x v="13"/>
    <s v="T - Transversales"/>
    <s v="Negociación"/>
    <s v="No"/>
    <x v="1"/>
    <s v="Vendedor especializado/vendedora especializada"/>
    <n v="5223"/>
    <s v="Asistentes de venta de tiendas y almacenes"/>
  </r>
  <r>
    <s v="Vendedora Digital / Atención al Cliente"/>
    <s v="resolución de problemas"/>
    <x v="14"/>
    <s v="T - Transversales"/>
    <s v="Pensamiento Analítico"/>
    <s v="No"/>
    <x v="1"/>
    <s v="Vendedor especializado/vendedora especializada"/>
    <n v="5223"/>
    <s v="Asistentes de venta de tiendas y almacenes"/>
  </r>
  <r>
    <s v="Vendedora Digital / Atención al Cliente"/>
    <s v="WhatsApp"/>
    <x v="15"/>
    <s v="S1 - Comunicación"/>
    <s v="Comunicación Digital"/>
    <s v="Sí"/>
    <x v="4"/>
    <s v="Vendedor especializado/vendedora especializada"/>
    <n v="5223"/>
    <s v="Asistentes de venta de tiendas y almacenes"/>
  </r>
  <r>
    <s v="Vendedora Digital / Atención al Cliente"/>
    <s v="correo electrónico"/>
    <x v="15"/>
    <s v="S1 - Comunicación"/>
    <s v="Comunicación Digital"/>
    <s v="Sí"/>
    <x v="4"/>
    <s v="Vendedor especializado/vendedora especializada"/>
    <n v="5223"/>
    <s v="Asistentes de venta de tiendas y almacenes"/>
  </r>
  <r>
    <s v="Vendedora Digital / Atención al Cliente"/>
    <s v="redes sociales"/>
    <x v="16"/>
    <s v="S5 - Digital"/>
    <s v="Marketing Digital"/>
    <s v="Sí"/>
    <x v="0"/>
    <s v="Vendedor especializado/vendedora especializada"/>
    <n v="5223"/>
    <s v="Asistentes de venta de tiendas y almacenes"/>
  </r>
  <r>
    <s v="Dibujante Tecnico"/>
    <s v="AutoCAD"/>
    <x v="17"/>
    <s v="S5 - Digital"/>
    <s v="Diseño CAD"/>
    <s v="Sí"/>
    <x v="0"/>
    <s v="Técnico medio en contabilidad"/>
    <n v="3313"/>
    <s v="Tenedores de libros"/>
  </r>
  <r>
    <s v="Dibujante Tecnico"/>
    <s v="Solidworks 2D y 3D"/>
    <x v="17"/>
    <s v="S5 - Digital"/>
    <s v="Diseño CAD"/>
    <s v="Sí"/>
    <x v="0"/>
    <s v="Técnico medio en contabilidad"/>
    <n v="3313"/>
    <s v="Tenedores de libros"/>
  </r>
  <r>
    <s v="Dibujante Tecnico"/>
    <s v="AutoCAD"/>
    <x v="17"/>
    <s v="S5 - Digital"/>
    <s v="Diseño CAD"/>
    <s v="Sí"/>
    <x v="0"/>
    <s v="Técnico medio en contabilidad"/>
    <n v="3313"/>
    <s v="Tenedores de libros"/>
  </r>
  <r>
    <s v="Dibujante Tecnico"/>
    <s v="Solidworks 2D y 3D"/>
    <x v="17"/>
    <s v="S5 - Digital"/>
    <s v="Diseño CAD"/>
    <s v="Sí"/>
    <x v="0"/>
    <s v="Técnico medio en contabilidad"/>
    <n v="3313"/>
    <s v="Tenedores de libros"/>
  </r>
  <r>
    <s v="Ejecutiva/o Comercial de Cuentas - GBA Norte"/>
    <s v="MS Office"/>
    <x v="0"/>
    <s v="S5 - Digital"/>
    <s v="Software Ofimático"/>
    <s v="Sí"/>
    <x v="0"/>
    <s v="Representante comercial"/>
    <n v="3322"/>
    <s v="Representantes comerciales"/>
  </r>
  <r>
    <s v="Ejecutiva/o Comercial de Cuentas - GBA Norte"/>
    <s v="trabajo en equipo"/>
    <x v="3"/>
    <s v="T - Transversales"/>
    <s v="Colaboración"/>
    <s v="No"/>
    <x v="1"/>
    <s v="Representante comercial"/>
    <n v="3322"/>
    <s v="Representantes comerciales"/>
  </r>
  <r>
    <s v="Ejecutiva/o Comercial de Cuentas - GBA Norte"/>
    <s v="comunicacion"/>
    <x v="4"/>
    <s v="T - Transversales"/>
    <s v="Comunicación"/>
    <s v="No"/>
    <x v="1"/>
    <s v="Representante comercial"/>
    <n v="3322"/>
    <s v="Representantes comerciales"/>
  </r>
  <r>
    <s v="Ejecutiva/o Comercial de Cuentas - GBA Norte"/>
    <s v="Tango o equivalente"/>
    <x v="18"/>
    <s v="S5 - Digital"/>
    <s v="ERP/Gestión"/>
    <s v="Sí"/>
    <x v="0"/>
    <s v="Representante comercial"/>
    <n v="3322"/>
    <s v="Representantes comerciales"/>
  </r>
  <r>
    <s v="671SI Operarios ind. ALIMENTICIA c/ Tit. secundari"/>
    <s v="BPM"/>
    <x v="19"/>
    <s v="S4 - Gestión"/>
    <s v="Gestión Procesos"/>
    <s v="No"/>
    <x v="2"/>
    <s v="Operario de producción de alimentos"/>
    <n v="8160"/>
    <s v="Operadores de máquinas para elaborar alimentos"/>
  </r>
  <r>
    <s v="Analista administrativo/a"/>
    <s v="Excel"/>
    <x v="20"/>
    <s v="S5 - Digital"/>
    <s v="Software Ofimático"/>
    <s v="Sí"/>
    <x v="0"/>
    <s v="Empleado administrativo de compañía de seguros"/>
    <n v="4312"/>
    <s v="Empleados de servicios estadísticos, financieros y de seguros"/>
  </r>
  <r>
    <s v="Analista administrativo/a"/>
    <s v="MS Office"/>
    <x v="0"/>
    <s v="S5 - Digital"/>
    <s v="Software Ofimático"/>
    <s v="Sí"/>
    <x v="0"/>
    <s v="Empleado administrativo de compañía de seguros"/>
    <n v="4312"/>
    <s v="Empleados de servicios estadísticos, financieros y de seguros"/>
  </r>
  <r>
    <s v="ADMINISTRATIVA/O"/>
    <s v="paquete office"/>
    <x v="0"/>
    <s v="S5 - Digital"/>
    <s v="Software Ofimático"/>
    <s v="Sí"/>
    <x v="0"/>
    <s v="Empleado de oficina/empleada de oficina"/>
    <n v="4110"/>
    <s v="Oficinistas generales"/>
  </r>
  <r>
    <s v="Búsqueda Laboral: Modelista – Vicente López (Flori"/>
    <s v="Lectra"/>
    <x v="21"/>
    <s v="S5 - Digital"/>
    <s v="Software Textil"/>
    <s v="Sí"/>
    <x v="0"/>
    <s v="Diseñador de modelos para moldes"/>
    <n v="7222"/>
    <s v="Herramentistas y afines"/>
  </r>
  <r>
    <s v="Búsqueda Laboral: Modelista – Vicente López (Flori"/>
    <s v="trabajo en equipo"/>
    <x v="3"/>
    <s v="T - Transversales"/>
    <s v="Colaboración"/>
    <s v="No"/>
    <x v="1"/>
    <s v="Diseñador de modelos para moldes"/>
    <n v="7222"/>
    <s v="Herramentistas y afines"/>
  </r>
  <r>
    <s v="Asesor Comercial Plan de Ahorro - Volkswagen"/>
    <s v="iniciativa"/>
    <x v="22"/>
    <s v="T - Transversales"/>
    <s v="Iniciativa"/>
    <s v="No"/>
    <x v="1"/>
    <s v="Representante comercial"/>
    <n v="3322"/>
    <s v="Representantes comerciales"/>
  </r>
  <r>
    <s v="Asesor Comercial Plan de Ahorro - Volkswagen"/>
    <s v="orientación al resultado"/>
    <x v="23"/>
    <s v="T - Transversales"/>
    <s v="Orientación Resultados"/>
    <s v="No"/>
    <x v="1"/>
    <s v="Representante comercial"/>
    <n v="3322"/>
    <s v="Representantes comerciales"/>
  </r>
  <r>
    <s v="Asesor Comercial Plan de Ahorro - Volkswagen"/>
    <s v="excelencia en lo que hacemos"/>
    <x v="24"/>
    <s v="T - Transversales"/>
    <s v="Excelencia"/>
    <s v="No"/>
    <x v="1"/>
    <s v="Representante comercial"/>
    <n v="3322"/>
    <s v="Representantes comerciales"/>
  </r>
  <r>
    <s v="Asesor Comercial Plan de Ahorro - Volkswagen"/>
    <s v="orientación al cliente"/>
    <x v="11"/>
    <s v="S3 - Asistencia"/>
    <s v="Orientación Cliente"/>
    <s v="No"/>
    <x v="3"/>
    <s v="Representante comercial"/>
    <n v="3322"/>
    <s v="Representantes comerciales"/>
  </r>
  <r>
    <s v="Asesor Comercial Plan de Ahorro - Volkswagen"/>
    <s v="trabajo en equipo"/>
    <x v="3"/>
    <s v="T - Transversales"/>
    <s v="Colaboración"/>
    <s v="No"/>
    <x v="1"/>
    <s v="Representante comercial"/>
    <n v="3322"/>
    <s v="Representantes comerciales"/>
  </r>
  <r>
    <s v="Account Executive (Hunter)"/>
    <s v="mentalidad orientada a resultados"/>
    <x v="23"/>
    <s v="T - Transversales"/>
    <s v="Orientación Resultados"/>
    <s v="No"/>
    <x v="1"/>
    <s v="Agente de empleo"/>
    <n v="3333"/>
    <s v="Agentes de empleo y contratistas de mano de obra"/>
  </r>
  <r>
    <s v="Account Executive (Hunter)"/>
    <s v="habilidades de negociación"/>
    <x v="13"/>
    <s v="T - Transversales"/>
    <s v="Negociación"/>
    <s v="No"/>
    <x v="1"/>
    <s v="Agente de empleo"/>
    <n v="3333"/>
    <s v="Agentes de empleo y contratistas de mano de obra"/>
  </r>
  <r>
    <s v="auxiliar contable"/>
    <s v="proactivo"/>
    <x v="22"/>
    <s v="T - Transversales"/>
    <s v="Iniciativa"/>
    <s v="No"/>
    <x v="1"/>
    <s v="Administrativo contable/administrativa contable"/>
    <n v="3313"/>
    <s v="Tenedores de libros"/>
  </r>
  <r>
    <s v="auxiliar contable"/>
    <s v="iniciativa"/>
    <x v="22"/>
    <s v="T - Transversales"/>
    <s v="Iniciativa"/>
    <s v="No"/>
    <x v="1"/>
    <s v="Administrativo contable/administrativa contable"/>
    <n v="3313"/>
    <s v="Tenedores de libros"/>
  </r>
  <r>
    <s v="Gerente de Operaciones"/>
    <s v="habilidades de liderazgo"/>
    <x v="25"/>
    <s v="T - Transversales"/>
    <s v="Liderazgo"/>
    <s v="No"/>
    <x v="1"/>
    <s v="Gerente de explotación minera"/>
    <n v="3121"/>
    <s v="Supervisores en ingeniería de minas"/>
  </r>
  <r>
    <s v="Community manager"/>
    <s v="SEO"/>
    <x v="26"/>
    <s v="S5 - Digital"/>
    <s v="Marketing Digital"/>
    <s v="Sí"/>
    <x v="0"/>
    <s v="Gestor de la información para las redes sociales"/>
    <n v="2432"/>
    <s v="Profesionales de relaciones públicas"/>
  </r>
  <r>
    <s v="Community manager"/>
    <s v="Google Ads"/>
    <x v="27"/>
    <s v="S5 - Digital"/>
    <s v="Marketing Digital"/>
    <s v="Sí"/>
    <x v="0"/>
    <s v="Gestor de la información para las redes sociales"/>
    <n v="2432"/>
    <s v="Profesionales de relaciones públicas"/>
  </r>
  <r>
    <s v="Community manager"/>
    <s v="Meta Ads"/>
    <x v="27"/>
    <s v="S5 - Digital"/>
    <s v="Marketing Digital"/>
    <s v="Sí"/>
    <x v="0"/>
    <s v="Gestor de la información para las redes sociales"/>
    <n v="2432"/>
    <s v="Profesionales de relaciones públicas"/>
  </r>
  <r>
    <s v="Community manager"/>
    <s v="creatividad"/>
    <x v="28"/>
    <s v="T - Transversales"/>
    <s v="Creatividad"/>
    <s v="No"/>
    <x v="1"/>
    <s v="Gestor de la información para las redes sociales"/>
    <n v="2432"/>
    <s v="Profesionales de relaciones públicas"/>
  </r>
  <r>
    <s v="Community manager"/>
    <s v="atencion al detalle"/>
    <x v="29"/>
    <s v="T - Transversales"/>
    <s v="Atención Detalle"/>
    <s v="No"/>
    <x v="1"/>
    <s v="Gestor de la información para las redes sociales"/>
    <n v="2432"/>
    <s v="Profesionales de relaciones públicas"/>
  </r>
  <r>
    <s v="Community manager"/>
    <s v="proactividad"/>
    <x v="22"/>
    <s v="T - Transversales"/>
    <s v="Iniciativa"/>
    <s v="No"/>
    <x v="1"/>
    <s v="Gestor de la información para las redes sociales"/>
    <n v="2432"/>
    <s v="Profesionales de relaciones públicas"/>
  </r>
  <r>
    <s v="Community manager"/>
    <s v="TiendaNube"/>
    <x v="30"/>
    <s v="S5 - Digital"/>
    <s v="E-commerce"/>
    <s v="Sí"/>
    <x v="0"/>
    <s v="Gestor de la información para las redes sociales"/>
    <n v="2432"/>
    <s v="Profesionales de relaciones públicas"/>
  </r>
  <r>
    <s v="Community manager"/>
    <s v="Mercado Libre"/>
    <x v="30"/>
    <s v="S5 - Digital"/>
    <s v="E-commerce"/>
    <s v="Sí"/>
    <x v="0"/>
    <s v="Gestor de la información para las redes sociales"/>
    <n v="2432"/>
    <s v="Profesionales de relaciones públicas"/>
  </r>
  <r>
    <s v="Community manager"/>
    <s v="Shopify"/>
    <x v="30"/>
    <s v="S5 - Digital"/>
    <s v="E-commerce"/>
    <s v="Sí"/>
    <x v="0"/>
    <s v="Gestor de la información para las redes sociales"/>
    <n v="2432"/>
    <s v="Profesionales de relaciones públicas"/>
  </r>
  <r>
    <s v="Community manager"/>
    <s v="CapCut"/>
    <x v="31"/>
    <s v="S5 - Digital"/>
    <s v="Edición Video"/>
    <s v="Sí"/>
    <x v="0"/>
    <s v="Gestor de la información para las redes sociales"/>
    <n v="2432"/>
    <s v="Profesionales de relaciones públicas"/>
  </r>
  <r>
    <s v="Representante Técnico/a Comercial"/>
    <s v="vocación comercial"/>
    <x v="32"/>
    <s v="S3 - Asistencia"/>
    <s v="Orientación Cliente"/>
    <s v="No"/>
    <x v="3"/>
    <s v="Representante técnico de ventas de maquinaria agrícola"/>
    <n v="2433"/>
    <s v="Profesionales de ventas técnicas y médicas"/>
  </r>
  <r>
    <s v="Representante Técnico/a Comercial"/>
    <s v="orientación a resultados"/>
    <x v="23"/>
    <s v="T - Transversales"/>
    <s v="Orientación Resultados"/>
    <s v="No"/>
    <x v="1"/>
    <s v="Representante técnico de ventas de maquinaria agrícola"/>
    <n v="2433"/>
    <s v="Profesionales de ventas técnicas y médicas"/>
  </r>
  <r>
    <s v="Venado Tuerto"/>
    <s v="disposición para liderar en equipo"/>
    <x v="8"/>
    <s v="T - Transversales"/>
    <s v="Liderazgo"/>
    <s v="No"/>
    <x v="1"/>
    <s v="Representante técnico de ventas de maquinaria agrícola"/>
    <n v="2433"/>
    <s v="Profesionales de ventas técnicas y médicas"/>
  </r>
  <r>
    <s v="Venado Tuerto"/>
    <s v="proactivo y responsable"/>
    <x v="22"/>
    <s v="T - Transversales"/>
    <s v="Iniciativa"/>
    <s v="No"/>
    <x v="1"/>
    <s v="Representante técnico de ventas de maquinaria agrícola"/>
    <n v="2433"/>
    <s v="Profesionales de ventas técnicas y médicas"/>
  </r>
  <r>
    <s v="Asistente de Dirección / Administrativo con experiencia en Publicidad y Medios"/>
    <s v="Office"/>
    <x v="0"/>
    <s v="S5 - Digital"/>
    <s v="Software Ofimático"/>
    <s v="Sí"/>
    <x v="0"/>
    <s v="Empleado administrativo/empleada administrativa"/>
    <n v="3343"/>
    <s v="Secretarios administrativos y ejecutivos"/>
  </r>
  <r>
    <s v="Asistente de Dirección / Administrativo con experiencia en Publicidad y Medios"/>
    <s v="planillas"/>
    <x v="20"/>
    <s v="S5 - Digital"/>
    <s v="Software Ofimático"/>
    <s v="Sí"/>
    <x v="0"/>
    <s v="Empleado administrativo/empleada administrativa"/>
    <n v="3343"/>
    <s v="Secretarios administrativos y ejecutivos"/>
  </r>
  <r>
    <s v="Asistente de Dirección / Administrativo con experiencia en Publicidad y Medios"/>
    <s v="excel avanzado"/>
    <x v="20"/>
    <s v="S5 - Digital"/>
    <s v="Software Ofimático"/>
    <s v="Sí"/>
    <x v="0"/>
    <s v="Empleado administrativo/empleada administrativa"/>
    <n v="3343"/>
    <s v="Secretarios administrativos y ejecutivos"/>
  </r>
  <r>
    <s v="Asistente de Dirección / Administrativo con experiencia en Publicidad y Medios"/>
    <s v="habilidades de comunicación"/>
    <x v="4"/>
    <s v="T - Transversales"/>
    <s v="Comunicación"/>
    <s v="No"/>
    <x v="1"/>
    <s v="Empleado administrativo/empleada administrativa"/>
    <n v="3343"/>
    <s v="Secretarios administrativos y ejecutivos"/>
  </r>
  <r>
    <s v="Asistente de Dirección / Administrativo con experiencia en Publicidad y Medios"/>
    <s v="atención al cliente"/>
    <x v="11"/>
    <s v="S3 - Asistencia"/>
    <s v="Orientación Cliente"/>
    <s v="No"/>
    <x v="3"/>
    <s v="Empleado administrativo/empleada administrativa"/>
    <n v="3343"/>
    <s v="Secretarios administrativos y ejecutivos"/>
  </r>
  <r>
    <s v="Asistente Administrativo de Ventas"/>
    <s v="Excel avanzado"/>
    <x v="20"/>
    <s v="S5 - Digital"/>
    <s v="Software Ofimático"/>
    <s v="Sí"/>
    <x v="0"/>
    <s v="Asistente de dirección"/>
    <n v="3343"/>
    <s v="Secretarios administrativos y ejecutivos"/>
  </r>
  <r>
    <s v="Asistente Administrativo de Ventas"/>
    <s v="autonomía y proactividad"/>
    <x v="22"/>
    <s v="T - Transversales"/>
    <s v="Iniciativa"/>
    <s v="No"/>
    <x v="1"/>
    <s v="Asistente de dirección"/>
    <n v="3343"/>
    <s v="Secretarios administrativos y ejecutivos"/>
  </r>
  <r>
    <s v="Asistente Administrativo de Ventas"/>
    <s v="orden y precisión administrativa"/>
    <x v="29"/>
    <s v="T - Transversales"/>
    <s v="Organización"/>
    <s v="No"/>
    <x v="1"/>
    <s v="Asistente de dirección"/>
    <n v="3343"/>
    <s v="Secretarios administrativos y ejecutivos"/>
  </r>
  <r>
    <s v="Asistente Administrativo de Ventas"/>
    <s v="orientación a resultados y al cliente interno"/>
    <x v="23"/>
    <s v="T - Transversales"/>
    <s v="Orientación Resultados"/>
    <s v="No"/>
    <x v="1"/>
    <s v="Asistente de dirección"/>
    <n v="3343"/>
    <s v="Secretarios administrativos y ejecutivos"/>
  </r>
  <r>
    <s v="Asistente Administrativo de Ventas"/>
    <s v="capacidad analítica y atención al detalle"/>
    <x v="33"/>
    <s v="T - Transversales"/>
    <s v="Pensamiento Analítico"/>
    <s v="No"/>
    <x v="1"/>
    <s v="Asistente de dirección"/>
    <n v="3343"/>
    <s v="Secretarios administrativos y ejecutivos"/>
  </r>
  <r>
    <s v="Asistente Administrativo de Ventas"/>
    <s v="trabajo en equipo y comunicación efectiva"/>
    <x v="3"/>
    <s v="T - Transversales"/>
    <s v="Colaboración"/>
    <s v="No"/>
    <x v="1"/>
    <s v="Asistente de dirección"/>
    <n v="3343"/>
    <s v="Secretarios administrativos y ejecutivos"/>
  </r>
  <r>
    <s v="Representante de atención al cliente"/>
    <s v="herramientas de CRM"/>
    <x v="10"/>
    <s v="S5 - Digital"/>
    <s v="Sistemas CRM"/>
    <s v="Sí"/>
    <x v="0"/>
    <s v="Agente de atención al cliente por chat"/>
    <n v="4222"/>
    <s v="Empleados de centros de llamadas"/>
  </r>
  <r>
    <s v="Representante de atención al cliente"/>
    <s v="plataformas de mensajería como WhatsApp"/>
    <x v="34"/>
    <s v="S1 - Comunicación"/>
    <s v="Comunicación Digital"/>
    <s v="Sí"/>
    <x v="0"/>
    <s v="Agente de atención al cliente por chat"/>
    <n v="4222"/>
    <s v="Empleados de centros de llamadas"/>
  </r>
  <r>
    <s v="Representante de atención al cliente"/>
    <s v="vocación al cliente"/>
    <x v="11"/>
    <s v="S3 - Asistencia"/>
    <s v="Orientación Cliente"/>
    <s v="No"/>
    <x v="3"/>
    <s v="Agente de atención al cliente por chat"/>
    <n v="4222"/>
    <s v="Empleados de centros de llamadas"/>
  </r>
  <r>
    <s v="Representante de atención al cliente"/>
    <s v="habilidades interpersonales y de comunicación excepcionales"/>
    <x v="4"/>
    <s v="T - Transversales"/>
    <s v="Comunicación"/>
    <s v="No"/>
    <x v="1"/>
    <s v="Agente de atención al cliente por chat"/>
    <n v="4222"/>
    <s v="Empleados de centros de llamadas"/>
  </r>
  <r>
    <s v="Representante de atención al cliente"/>
    <s v="habilidades para resolver problemas"/>
    <x v="14"/>
    <s v="T - Transversales"/>
    <s v="Pensamiento Analítico"/>
    <s v="No"/>
    <x v="1"/>
    <s v="Agente de atención al cliente por chat"/>
    <n v="4222"/>
    <s v="Empleados de centros de llamadas"/>
  </r>
  <r>
    <s v="CAJERO/ENCARGADO"/>
    <s v="Office"/>
    <x v="0"/>
    <s v="S5 - Digital"/>
    <s v="Software Ofimático"/>
    <s v="Sí"/>
    <x v="0"/>
    <s v="Cajero/cajera"/>
    <n v="5230"/>
    <s v="Cajeros y expendedores de billetes"/>
  </r>
  <r>
    <s v="CAJERO/ENCARGADO"/>
    <s v="Excel"/>
    <x v="20"/>
    <s v="S5 - Digital"/>
    <s v="Software Ofimático"/>
    <s v="Sí"/>
    <x v="0"/>
    <s v="Cajero/cajera"/>
    <n v="5230"/>
    <s v="Cajeros y expendedores de billetes"/>
  </r>
  <r>
    <s v="Médica Clínica o Dermatóloga – Especialista en tratamientos estéticos inyectables"/>
    <s v="tratamientos con tecnología láser"/>
    <x v="35"/>
    <s v="S6 - Técnicas"/>
    <s v="Tecnología Médica"/>
    <s v="Sí"/>
    <x v="0"/>
    <s v="Médico generalista/médica generalista"/>
    <n v="2211"/>
    <s v="Médicos generales"/>
  </r>
  <r>
    <s v="Médica Clínica o Dermatóloga – Especialista en tratamientos estéticos inyectables"/>
    <s v="excelente trato interpersonal"/>
    <x v="36"/>
    <s v="T - Transversales"/>
    <s v="Relaciones Interpersonales"/>
    <s v="No"/>
    <x v="1"/>
    <s v="Médico generalista/médica generalista"/>
    <n v="2211"/>
    <s v="Médicos generales"/>
  </r>
  <r>
    <s v="Médica Clínica o Dermatóloga – Especialista en tratamientos estéticos inyectables"/>
    <s v="orientación al paciente"/>
    <x v="12"/>
    <s v="S3 - Asistencia"/>
    <s v="Atención Paciente"/>
    <s v="No"/>
    <x v="3"/>
    <s v="Médico generalista/médica generalista"/>
    <n v="2211"/>
    <s v="Médicos generales"/>
  </r>
  <r>
    <s v="Mozo/Moza"/>
    <s v="vocación de servicio"/>
    <x v="11"/>
    <s v="S3 - Asistencia"/>
    <s v="Orientación Cliente"/>
    <s v="No"/>
    <x v="3"/>
    <s v="Camarero/camarera"/>
    <n v="5131"/>
    <s v="Camareros de mesas"/>
  </r>
  <r>
    <s v="Mozo/Moza"/>
    <s v="actitud cordial"/>
    <x v="37"/>
    <s v="T - Transversales"/>
    <s v="Actitud Positiva"/>
    <s v="No"/>
    <x v="1"/>
    <s v="Camarero/camarera"/>
    <n v="5131"/>
    <s v="Camareros de mesas"/>
  </r>
  <r>
    <s v="Electricista Industrial"/>
    <s v="mantenimiento preventivo y correctivo"/>
    <x v="38"/>
    <s v="S6 - Técnicas"/>
    <s v="Mantenimiento"/>
    <s v="No"/>
    <x v="0"/>
    <s v="Electricista de obras"/>
    <n v="7411"/>
    <s v="Electricistas de obras y afines"/>
  </r>
  <r>
    <s v="Electricista Industrial"/>
    <s v="interpretación de planos eléctricos"/>
    <x v="39"/>
    <s v="K - Conocimientos"/>
    <s v="Electricidad"/>
    <s v="No"/>
    <x v="0"/>
    <s v="Electricista de obras"/>
    <n v="7411"/>
    <s v="Electricistas de obras y afines"/>
  </r>
  <r>
    <s v="Electricista Industrial"/>
    <s v="dimensionamiento de instalaciones eléctricas"/>
    <x v="40"/>
    <s v="S6 - Técnicas"/>
    <s v="Electricidad"/>
    <s v="No"/>
    <x v="0"/>
    <s v="Electricista de obras"/>
    <n v="7411"/>
    <s v="Electricistas de obras y afines"/>
  </r>
  <r>
    <s v="Electricista Industrial"/>
    <s v="montaje de canalizaciones eléctricas"/>
    <x v="41"/>
    <s v="S6 - Técnicas"/>
    <s v="Electricidad"/>
    <s v="No"/>
    <x v="0"/>
    <s v="Electricista de obras"/>
    <n v="7411"/>
    <s v="Electricistas de obras y afines"/>
  </r>
  <r>
    <s v="Electricista Industrial"/>
    <s v="diseño y armado de tableros eléctricos"/>
    <x v="42"/>
    <s v="S6 - Técnicas"/>
    <s v="Electricidad"/>
    <s v="No"/>
    <x v="0"/>
    <s v="Electricista de obras"/>
    <n v="7411"/>
    <s v="Electricistas de obras y afines"/>
  </r>
  <r>
    <s v="Supervisor/a Administración Autos usados"/>
    <s v="manejo avanzado de paquete Office"/>
    <x v="0"/>
    <s v="S5 - Digital"/>
    <s v="Software Ofimático"/>
    <s v="Sí"/>
    <x v="0"/>
    <s v="Director de departamento de administración"/>
    <n v="3341"/>
    <s v="Supervisores de secretaría"/>
  </r>
  <r>
    <s v="Supervisor/a Administración Autos usados"/>
    <s v="habilidad en liderazgo y coordinación de equipos"/>
    <x v="25"/>
    <s v="T - Transversales"/>
    <s v="Liderazgo"/>
    <s v="No"/>
    <x v="1"/>
    <s v="Director de departamento de administración"/>
    <n v="3341"/>
    <s v="Supervisores de secretaría"/>
  </r>
  <r>
    <s v="Chofer - Repartidor"/>
    <s v="mantenimiento y cuidado de vehículos"/>
    <x v="43"/>
    <s v="S6 - Técnicas"/>
    <s v="Mantenimiento"/>
    <s v="No"/>
    <x v="0"/>
    <s v="Conductor de vehículo de reparto"/>
    <n v="8322"/>
    <s v="Conductores de automóviles, taxis y camionetas"/>
  </r>
  <r>
    <s v="Chofer - Repartidor"/>
    <s v="actitud responsable"/>
    <x v="44"/>
    <s v="T - Transversales"/>
    <s v="Responsabilidad"/>
    <s v="No"/>
    <x v="1"/>
    <s v="Conductor de vehículo de reparto"/>
    <n v="8322"/>
    <s v="Conductores de automóviles, taxis y camionetas"/>
  </r>
  <r>
    <s v="Chofer - Repartidor"/>
    <s v="puntualidad"/>
    <x v="45"/>
    <s v="T - Transversales"/>
    <s v="Organización"/>
    <s v="No"/>
    <x v="1"/>
    <s v="Conductor de vehículo de reparto"/>
    <n v="8322"/>
    <s v="Conductores de automóviles, taxis y camionetas"/>
  </r>
  <r>
    <s v="Chofer - Repartidor"/>
    <s v="capacidad para gestionar las entregas de manera eficiente y autónoma"/>
    <x v="46"/>
    <s v="T - Transversales"/>
    <s v="Autonomía"/>
    <s v="No"/>
    <x v="1"/>
    <s v="Conductor de vehículo de reparto"/>
    <n v="8322"/>
    <s v="Conductores de automóviles, taxis y camionetas"/>
  </r>
  <r>
    <s v="Asistente Administrativo General"/>
    <s v="Microsoft Office Suite"/>
    <x v="0"/>
    <s v="S5 - Digital"/>
    <s v="Software Ofimático"/>
    <s v="Sí"/>
    <x v="0"/>
    <s v="Empleado administrativo/empleada administrativa"/>
    <n v="3343"/>
    <s v="Secretarios administrativos y ejecutivos"/>
  </r>
  <r>
    <s v="Asistente Administrativo General"/>
    <s v="proactiva"/>
    <x v="22"/>
    <s v="T - Transversales"/>
    <s v="Iniciativa"/>
    <s v="No"/>
    <x v="1"/>
    <s v="Empleado administrativo/empleada administrativa"/>
    <n v="3343"/>
    <s v="Secretarios administrativos y ejecutivos"/>
  </r>
  <r>
    <s v="Asistente Administrativo General"/>
    <s v="organizada"/>
    <x v="47"/>
    <s v="T - Transversales"/>
    <s v="Organización"/>
    <s v="No"/>
    <x v="1"/>
    <s v="Empleado administrativo/empleada administrativa"/>
    <n v="3343"/>
    <s v="Secretarios administrativos y ejecutivos"/>
  </r>
  <r>
    <s v="Desarrollador Angular Senior"/>
    <s v="Angular"/>
    <x v="48"/>
    <s v="S5 - Digital"/>
    <s v="Programación"/>
    <s v="Sí"/>
    <x v="0"/>
    <s v="Desarrollador web/desarrolladora web"/>
    <n v="2513"/>
    <s v="Desarrolladores web y multimedios"/>
  </r>
  <r>
    <s v="Desarrollador Angular Senior"/>
    <s v="Webpack"/>
    <x v="49"/>
    <s v="S5 - Digital"/>
    <s v="Programación"/>
    <s v="Sí"/>
    <x v="0"/>
    <s v="Desarrollador web/desarrolladora web"/>
    <n v="2513"/>
    <s v="Desarrolladores web y multimedios"/>
  </r>
  <r>
    <s v="Asesor/a de Admisiones"/>
    <s v="paquete Office"/>
    <x v="0"/>
    <s v="S5 - Digital"/>
    <s v="Software Ofimático"/>
    <s v="Sí"/>
    <x v="0"/>
    <s v="Asesor jurídico/asesora jurídica"/>
    <n v="2619"/>
    <s v="Profesionales en derecho no clasificados"/>
  </r>
  <r>
    <s v="Asesor/a de Admisiones"/>
    <s v="herramientas de Google"/>
    <x v="2"/>
    <s v="S5 - Digital"/>
    <s v="Informática General"/>
    <s v="Sí"/>
    <x v="0"/>
    <s v="Asesor jurídico/asesora jurídica"/>
    <n v="2619"/>
    <s v="Profesionales en derecho no clasificados"/>
  </r>
  <r>
    <s v="Asesor/a de Admisiones"/>
    <s v="dinámica"/>
    <x v="22"/>
    <s v="T - Transversales"/>
    <s v="Iniciativa"/>
    <s v="No"/>
    <x v="1"/>
    <s v="Asesor jurídico/asesora jurídica"/>
    <n v="2619"/>
    <s v="Profesionales en derecho no clasificados"/>
  </r>
  <r>
    <s v="Asesor/a de Admisiones"/>
    <s v="proactiva"/>
    <x v="22"/>
    <s v="T - Transversales"/>
    <s v="Iniciativa"/>
    <s v="No"/>
    <x v="1"/>
    <s v="Asesor jurídico/asesora jurídica"/>
    <n v="2619"/>
    <s v="Profesionales en derecho no clasificados"/>
  </r>
  <r>
    <s v="Asesor/a de Admisiones"/>
    <s v="resolutiva"/>
    <x v="14"/>
    <s v="T - Transversales"/>
    <s v="Pensamiento Analítico"/>
    <s v="No"/>
    <x v="1"/>
    <s v="Asesor jurídico/asesora jurídica"/>
    <n v="2619"/>
    <s v="Profesionales en derecho no clasificados"/>
  </r>
  <r>
    <s v="Asesor/a de Admisiones"/>
    <s v="vocación de servicio"/>
    <x v="11"/>
    <s v="S3 - Asistencia"/>
    <s v="Orientación Cliente"/>
    <s v="No"/>
    <x v="3"/>
    <s v="Asesor jurídico/asesora jurídica"/>
    <n v="2619"/>
    <s v="Profesionales en derecho no clasificados"/>
  </r>
  <r>
    <s v="Asesor/a de Admisiones"/>
    <s v="atenta a los detalles"/>
    <x v="29"/>
    <s v="T - Transversales"/>
    <s v="Atención Detalle"/>
    <s v="No"/>
    <x v="1"/>
    <s v="Asesor jurídico/asesora jurídica"/>
    <n v="2619"/>
    <s v="Profesionales en derecho no clasificados"/>
  </r>
  <r>
    <s v="Asesor/a de Admisiones"/>
    <s v="excelente comunicación oral y escrita"/>
    <x v="4"/>
    <s v="T - Transversales"/>
    <s v="Comunicación"/>
    <s v="No"/>
    <x v="1"/>
    <s v="Asesor jurídico/asesora jurídica"/>
    <n v="2619"/>
    <s v="Profesionales en derecho no clasificados"/>
  </r>
  <r>
    <s v="Diseñador Gráfico E-commerce"/>
    <s v="Photoshop"/>
    <x v="50"/>
    <s v="S5 - Digital"/>
    <s v="Diseño Gráfico"/>
    <s v="Sí"/>
    <x v="0"/>
    <s v="Dibujante de guiones gráficos"/>
    <n v="2651"/>
    <s v="Artistas de artes plásticas"/>
  </r>
  <r>
    <s v="Diseñador Gráfico E-commerce"/>
    <s v="Illustrator"/>
    <x v="50"/>
    <s v="S5 - Digital"/>
    <s v="Diseño Gráfico"/>
    <s v="Sí"/>
    <x v="0"/>
    <s v="Dibujante de guiones gráficos"/>
    <n v="2651"/>
    <s v="Artistas de artes plásticas"/>
  </r>
  <r>
    <s v="Diseñador Gráfico E-commerce"/>
    <s v="creativo"/>
    <x v="28"/>
    <s v="T - Transversales"/>
    <s v="Creatividad"/>
    <s v="No"/>
    <x v="1"/>
    <s v="Dibujante de guiones gráficos"/>
    <n v="2651"/>
    <s v="Artistas de artes plásticas"/>
  </r>
  <r>
    <s v="ASESOR DE VENTAS DIRECTAS"/>
    <s v="trabajo en equipo"/>
    <x v="3"/>
    <s v="T - Transversales"/>
    <s v="Colaboración"/>
    <s v="No"/>
    <x v="1"/>
    <s v="Vendedor/vendedora"/>
    <n v="5223"/>
    <s v="Asistentes de venta de tiendas y almacenes"/>
  </r>
  <r>
    <s v="Representante Comercial (Consumo Masivo / Grandes Cuentas)"/>
    <s v="negociación"/>
    <x v="13"/>
    <s v="T - Transversales"/>
    <s v="Negociación"/>
    <s v="No"/>
    <x v="1"/>
    <s v="Representante comercial"/>
    <n v="3322"/>
    <s v="Representantes comerciales"/>
  </r>
  <r>
    <s v="Representante Comercial (Consumo Masivo / Grandes Cuentas)"/>
    <s v="planificación, organización y coordinación"/>
    <x v="51"/>
    <s v="T - Transversales"/>
    <s v="Organización"/>
    <s v="No"/>
    <x v="1"/>
    <s v="Representante comercial"/>
    <n v="3322"/>
    <s v="Representantes comerciales"/>
  </r>
  <r>
    <s v="Representante Comercial (Consumo Masivo / Grandes Cuentas)"/>
    <s v="capacidad analítica"/>
    <x v="33"/>
    <s v="T - Transversales"/>
    <s v="Pensamiento Analítico"/>
    <s v="No"/>
    <x v="1"/>
    <s v="Representante comercial"/>
    <n v="3322"/>
    <s v="Representantes comerciales"/>
  </r>
  <r>
    <s v="Representante Comercial (Consumo Masivo / Grandes Cuentas)"/>
    <s v="trabajo en equipo y buenas relaciones interpersonales"/>
    <x v="3"/>
    <s v="T - Transversales"/>
    <s v="Colaboración"/>
    <s v="No"/>
    <x v="1"/>
    <s v="Representante comercial"/>
    <n v="3322"/>
    <s v="Representantes comerciales"/>
  </r>
  <r>
    <s v="Representante Comercial (Consumo Masivo / Grandes Cuentas)"/>
    <s v="comunicación asertiva"/>
    <x v="52"/>
    <s v="T - Transversales"/>
    <s v="Comunicación"/>
    <s v="No"/>
    <x v="1"/>
    <s v="Representante comercial"/>
    <n v="3322"/>
    <s v="Representantes comerciales"/>
  </r>
  <r>
    <s v="Representante Comercial (Consumo Masivo / Grandes Cuentas)"/>
    <s v="adaptación"/>
    <x v="53"/>
    <s v="T - Transversales"/>
    <s v="Adaptabilidad"/>
    <s v="No"/>
    <x v="1"/>
    <s v="Representante comercial"/>
    <n v="3322"/>
    <s v="Representantes comerciales"/>
  </r>
  <r>
    <s v="ASESOR TÉCNICO NUTRICIÓN ANIMAL RUMIANTES"/>
    <s v="disposición para viajar"/>
    <x v="54"/>
    <s v="T - Transversales"/>
    <s v="Disponibilidad"/>
    <s v="No"/>
    <x v="1"/>
    <s v="Asesor de orientación profesional"/>
    <n v="2423"/>
    <s v="Especialistas en políticas y servicios de personal"/>
  </r>
  <r>
    <s v="Analista de Cultivo - Roque Pérez - BA"/>
    <s v="SAP/Cencerro"/>
    <x v="18"/>
    <s v="S5 - Digital"/>
    <s v="ERP/Gestión"/>
    <s v="Sí"/>
    <x v="0"/>
    <s v="Ingeniero agrícola/ingeniera agrícola"/>
    <n v="2144"/>
    <s v="Ingenieros mecánicos"/>
  </r>
  <r>
    <s v="Analista de Cultivo - Roque Pérez - BA"/>
    <s v="SIMA"/>
    <x v="18"/>
    <s v="S5 - Digital"/>
    <s v="ERP/Gestión"/>
    <s v="Sí"/>
    <x v="0"/>
    <s v="Ingeniero agrícola/ingeniera agrícola"/>
    <n v="2144"/>
    <s v="Ingenieros mecánicos"/>
  </r>
  <r>
    <s v="Analista de Cultivo - Roque Pérez - BA"/>
    <s v="Paquete Office"/>
    <x v="0"/>
    <s v="S5 - Digital"/>
    <s v="Software Ofimático"/>
    <s v="Sí"/>
    <x v="0"/>
    <s v="Ingeniero agrícola/ingeniera agrícola"/>
    <n v="2144"/>
    <s v="Ingenieros mecánicos"/>
  </r>
  <r>
    <s v="Gerente General para Maderera"/>
    <s v="visión estratégica"/>
    <x v="55"/>
    <s v="T - Transversales"/>
    <s v="Pensamiento Estratégico"/>
    <s v="No"/>
    <x v="1"/>
    <s v="Gerente de maderera"/>
    <n v="1219"/>
    <s v="Directores de administración y servicios"/>
  </r>
  <r>
    <s v="Gerente General para Maderera"/>
    <s v="capacidad de organización"/>
    <x v="47"/>
    <s v="T - Transversales"/>
    <s v="Organización"/>
    <s v="No"/>
    <x v="1"/>
    <s v="Gerente de maderera"/>
    <n v="1219"/>
    <s v="Directores de administración y servicios"/>
  </r>
  <r>
    <s v="Vendedor con Experiencia (Corredor)"/>
    <s v="habilidades de comunicación"/>
    <x v="4"/>
    <s v="T - Transversales"/>
    <s v="Comunicación"/>
    <s v="No"/>
    <x v="1"/>
    <s v="Vendedor/vendedora"/>
    <n v="5223"/>
    <s v="Asistentes de venta de tiendas y almacenes"/>
  </r>
  <r>
    <s v="Vendedor con Experiencia (Corredor)"/>
    <s v="negociación"/>
    <x v="13"/>
    <s v="T - Transversales"/>
    <s v="Negociación"/>
    <s v="No"/>
    <x v="1"/>
    <s v="Vendedor/vendedora"/>
    <n v="5223"/>
    <s v="Asistentes de venta de tiendas y almacenes"/>
  </r>
  <r>
    <s v="RECEPCIONISTA ADMINISTRATIVO"/>
    <s v="Tango"/>
    <x v="18"/>
    <s v="S5 - Digital"/>
    <s v="ERP/Gestión"/>
    <s v="Sí"/>
    <x v="0"/>
    <s v="Empleado administrativo de compañía de seguros"/>
    <n v="4312"/>
    <s v="Empleados de servicios estadísticos, financieros y de seguros"/>
  </r>
  <r>
    <s v="RECEPCIONISTA ADMINISTRATIVO"/>
    <s v="proactivo"/>
    <x v="22"/>
    <s v="T - Transversales"/>
    <s v="Iniciativa"/>
    <s v="No"/>
    <x v="1"/>
    <s v="Empleado administrativo de compañía de seguros"/>
    <n v="4312"/>
    <s v="Empleados de servicios estadísticos, financieros y de seguros"/>
  </r>
  <r>
    <s v="Asesor/a de Ventas y Atención al Cliente"/>
    <s v="POS"/>
    <x v="56"/>
    <s v="S5 - Digital"/>
    <s v="Punto de Venta"/>
    <s v="Sí"/>
    <x v="0"/>
    <s v="Vendedor/vendedora"/>
    <n v="5223"/>
    <s v="Asistentes de venta de tiendas y almacenes"/>
  </r>
  <r>
    <s v="Asesor/a de Ventas y Atención al Cliente"/>
    <s v="proactividad"/>
    <x v="22"/>
    <s v="T - Transversales"/>
    <s v="Iniciativa"/>
    <s v="No"/>
    <x v="1"/>
    <s v="Vendedor/vendedora"/>
    <n v="5223"/>
    <s v="Asistentes de venta de tiendas y almacenes"/>
  </r>
  <r>
    <s v="Asesor/a de Ventas y Atención al Cliente"/>
    <s v="adaptabilidad"/>
    <x v="53"/>
    <s v="T - Transversales"/>
    <s v="Adaptabilidad"/>
    <s v="No"/>
    <x v="1"/>
    <s v="Vendedor/vendedora"/>
    <n v="5223"/>
    <s v="Asistentes de venta de tiendas y almacenes"/>
  </r>
  <r>
    <s v="Asesor/a de Ventas y Atención al Cliente"/>
    <s v="sociabilidad natural"/>
    <x v="36"/>
    <s v="T - Transversales"/>
    <s v="Relaciones Interpersonales"/>
    <s v="No"/>
    <x v="1"/>
    <s v="Vendedor/vendedora"/>
    <n v="5223"/>
    <s v="Asistentes de venta de tiendas y almacenes"/>
  </r>
  <r>
    <s v="Asesor/a de Ventas y Atención al Cliente"/>
    <s v="empatía"/>
    <x v="57"/>
    <s v="T - Transversales"/>
    <s v="Inteligencia Emocional"/>
    <s v="No"/>
    <x v="1"/>
    <s v="Vendedor/vendedora"/>
    <n v="5223"/>
    <s v="Asistentes de venta de tiendas y almacenes"/>
  </r>
  <r>
    <s v="Asesor/a de Ventas y Atención al Cliente"/>
    <s v="autoconfianza"/>
    <x v="58"/>
    <s v="T - Transversales"/>
    <s v="Inteligencia Emocional"/>
    <s v="No"/>
    <x v="1"/>
    <s v="Vendedor/vendedora"/>
    <n v="5223"/>
    <s v="Asistentes de venta de tiendas y almacenes"/>
  </r>
  <r>
    <s v="Asesor Comercial E Commerce - Manager de redes sociales"/>
    <s v="Paquete Office"/>
    <x v="0"/>
    <s v="S5 - Digital"/>
    <s v="Software Ofimático"/>
    <s v="Sí"/>
    <x v="0"/>
    <s v="Asistente de departamento de ventas"/>
    <n v="4311"/>
    <s v="Empleados de contabilidad y cálculo de costos"/>
  </r>
  <r>
    <s v="Asesor Comercial E Commerce - Manager de redes sociales"/>
    <s v="CRM Hubspot"/>
    <x v="10"/>
    <s v="S5 - Digital"/>
    <s v="Sistemas CRM"/>
    <s v="Sí"/>
    <x v="0"/>
    <s v="Asistente de departamento de ventas"/>
    <n v="4311"/>
    <s v="Empleados de contabilidad y cálculo de costos"/>
  </r>
  <r>
    <s v="Asesor Comercial E Commerce - Manager de redes sociales"/>
    <s v="Photoshop o afín"/>
    <x v="50"/>
    <s v="S5 - Digital"/>
    <s v="Diseño Gráfico"/>
    <s v="Sí"/>
    <x v="0"/>
    <s v="Asistente de departamento de ventas"/>
    <n v="4311"/>
    <s v="Empleados de contabilidad y cálculo de costos"/>
  </r>
  <r>
    <s v="Asesor Comercial E Commerce - Manager de redes sociales"/>
    <s v="Canva o afín"/>
    <x v="50"/>
    <s v="S5 - Digital"/>
    <s v="Diseño Gráfico"/>
    <s v="Sí"/>
    <x v="0"/>
    <s v="Asistente de departamento de ventas"/>
    <n v="4311"/>
    <s v="Empleados de contabilidad y cálculo de costos"/>
  </r>
  <r>
    <s v="Asesor Comercial E Commerce - Manager de redes sociales"/>
    <s v="Manejo de prioridades, tiempos y seguimientos"/>
    <x v="47"/>
    <s v="T - Transversales"/>
    <s v="Organización"/>
    <s v="No"/>
    <x v="1"/>
    <s v="Asistente de departamento de ventas"/>
    <n v="4311"/>
    <s v="Empleados de contabilidad y cálculo de costos"/>
  </r>
  <r>
    <s v="Asesor Comercial E Commerce - Manager de redes sociales"/>
    <s v="Manejo de presupuestos"/>
    <x v="59"/>
    <s v="S4 - Gestión"/>
    <s v="Gestión Financiera"/>
    <s v="No"/>
    <x v="2"/>
    <s v="Asistente de departamento de ventas"/>
    <n v="4311"/>
    <s v="Empleados de contabilidad y cálculo de costos"/>
  </r>
  <r>
    <s v="Asesor Comercial E Commerce - Manager de redes sociales"/>
    <s v="Toleración a la presión del resultado y medición por objetivos"/>
    <x v="60"/>
    <s v="T - Transversales"/>
    <s v="Orientación Resultados"/>
    <s v="No"/>
    <x v="1"/>
    <s v="Asistente de departamento de ventas"/>
    <n v="4311"/>
    <s v="Empleados de contabilidad y cálculo de costos"/>
  </r>
  <r>
    <s v="Asesor Comercial E Commerce - Manager de redes sociales"/>
    <s v="Adaptabilidad y flexibilidad"/>
    <x v="53"/>
    <s v="T - Transversales"/>
    <s v="Adaptabilidad"/>
    <s v="No"/>
    <x v="1"/>
    <s v="Asistente de departamento de ventas"/>
    <n v="4311"/>
    <s v="Empleados de contabilidad y cálculo de costos"/>
  </r>
  <r>
    <s v="Asesor Comercial E Commerce - Manager de redes sociales"/>
    <s v="Trabajo en equipo y colaboración"/>
    <x v="3"/>
    <s v="T - Transversales"/>
    <s v="Colaboración"/>
    <s v="No"/>
    <x v="1"/>
    <s v="Asistente de departamento de ventas"/>
    <n v="4311"/>
    <s v="Empleados de contabilidad y cálculo de costos"/>
  </r>
  <r>
    <s v="Abogado/a - Impuestos"/>
    <s v="Sin skills identificadas"/>
    <x v="61"/>
    <s v="N/A"/>
    <s v="N/A"/>
    <s v="N/A"/>
    <x v="5"/>
    <s v="Abogado/abogada"/>
    <n v="2611"/>
    <s v="Abogados"/>
  </r>
  <r>
    <s v="OPERADOR DE AUTOELEVADORES"/>
    <s v="Sin skills identificadas"/>
    <x v="61"/>
    <s v="N/A"/>
    <s v="N/A"/>
    <s v="N/A"/>
    <x v="5"/>
    <s v="Operador de maquinaria agrícola"/>
    <n v="8341"/>
    <s v="Operadores de maquinaria agrícola y forestal móvil"/>
  </r>
  <r>
    <s v="Recepcionista"/>
    <s v="Sin skills identificadas"/>
    <x v="61"/>
    <s v="N/A"/>
    <s v="N/A"/>
    <s v="N/A"/>
    <x v="5"/>
    <s v="Recepcionista"/>
    <n v="4226"/>
    <s v="Recepcionistas (general)"/>
  </r>
  <r>
    <s v="Administrativa Comercio Exterior"/>
    <s v="Sin skills identificadas"/>
    <x v="61"/>
    <s v="N/A"/>
    <s v="N/A"/>
    <s v="N/A"/>
    <x v="5"/>
    <s v="Empleado de oficina/empleada de oficina"/>
    <n v="4110"/>
    <s v="Oficinistas generales"/>
  </r>
  <r>
    <s v="Jardinero"/>
    <s v="Sin skills identificadas"/>
    <x v="61"/>
    <s v="N/A"/>
    <s v="N/A"/>
    <s v="N/A"/>
    <x v="5"/>
    <s v="Jardinero paisajista/jardinera paisajista"/>
    <n v="6113"/>
    <s v="Agricultores y trabajadores calificados de huertas"/>
  </r>
  <r>
    <s v="Operario Picking"/>
    <s v="Sin skills identificadas"/>
    <x v="61"/>
    <s v="N/A"/>
    <s v="N/A"/>
    <s v="N/A"/>
    <x v="5"/>
    <s v="Reponedor/reponedora"/>
    <n v="9334"/>
    <s v="Reponedores de estanterías"/>
  </r>
  <r>
    <s v="Operario de Almacén/Logística"/>
    <s v="Sin skills identificadas"/>
    <x v="61"/>
    <s v="N/A"/>
    <s v="N/A"/>
    <s v="N/A"/>
    <x v="5"/>
    <s v="Operario de logística de almacén"/>
    <n v="9333"/>
    <s v="Peones de carga"/>
  </r>
  <r>
    <s v="Repositor/a Externo/a (Eventual) Moreno"/>
    <s v="Sin skills identificadas"/>
    <x v="61"/>
    <s v="N/A"/>
    <s v="N/A"/>
    <s v="N/A"/>
    <x v="5"/>
    <s v="Reponedor/reponedora"/>
    <n v="9334"/>
    <s v="Reponedores de estanterías"/>
  </r>
  <r>
    <m/>
    <m/>
    <x v="62"/>
    <m/>
    <m/>
    <m/>
    <x v="6"/>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4BC4D5-67EE-4767-96E4-A297C3052FEC}" name="TablaDinámica2" cacheId="8"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15:B23" firstHeaderRow="1" firstDataRow="1" firstDataCol="1"/>
  <pivotFields count="10">
    <pivotField showAll="0"/>
    <pivotField showAll="0"/>
    <pivotField showAll="0">
      <items count="64">
        <item x="53"/>
        <item x="19"/>
        <item x="32"/>
        <item x="33"/>
        <item x="13"/>
        <item x="35"/>
        <item x="42"/>
        <item x="44"/>
        <item x="24"/>
        <item x="52"/>
        <item x="4"/>
        <item x="58"/>
        <item x="57"/>
        <item x="25"/>
        <item x="40"/>
        <item x="54"/>
        <item x="36"/>
        <item x="1"/>
        <item x="47"/>
        <item x="5"/>
        <item x="30"/>
        <item x="59"/>
        <item x="27"/>
        <item x="16"/>
        <item x="41"/>
        <item x="39"/>
        <item x="8"/>
        <item x="37"/>
        <item x="22"/>
        <item x="61"/>
        <item x="23"/>
        <item x="28"/>
        <item x="55"/>
        <item x="51"/>
        <item x="11"/>
        <item x="29"/>
        <item x="12"/>
        <item x="6"/>
        <item x="7"/>
        <item x="38"/>
        <item x="43"/>
        <item x="26"/>
        <item x="14"/>
        <item x="45"/>
        <item x="9"/>
        <item x="60"/>
        <item x="46"/>
        <item x="3"/>
        <item x="15"/>
        <item x="49"/>
        <item x="2"/>
        <item x="20"/>
        <item x="48"/>
        <item x="34"/>
        <item x="18"/>
        <item x="56"/>
        <item x="17"/>
        <item x="10"/>
        <item x="21"/>
        <item x="50"/>
        <item x="31"/>
        <item x="0"/>
        <item x="62"/>
        <item t="default"/>
      </items>
    </pivotField>
    <pivotField showAll="0"/>
    <pivotField showAll="0"/>
    <pivotField showAll="0"/>
    <pivotField axis="axisRow" dataField="1" showAll="0">
      <items count="8">
        <item x="2"/>
        <item x="5"/>
        <item x="4"/>
        <item x="3"/>
        <item x="1"/>
        <item x="0"/>
        <item x="6"/>
        <item t="default"/>
      </items>
    </pivotField>
    <pivotField showAll="0"/>
    <pivotField showAll="0"/>
    <pivotField showAll="0"/>
  </pivotFields>
  <rowFields count="1">
    <field x="6"/>
  </rowFields>
  <rowItems count="8">
    <i>
      <x/>
    </i>
    <i>
      <x v="1"/>
    </i>
    <i>
      <x v="2"/>
    </i>
    <i>
      <x v="3"/>
    </i>
    <i>
      <x v="4"/>
    </i>
    <i>
      <x v="5"/>
    </i>
    <i>
      <x v="6"/>
    </i>
    <i t="grand">
      <x/>
    </i>
  </rowItems>
  <colItems count="1">
    <i/>
  </colItems>
  <dataFields count="1">
    <dataField name="Cuenta de Tipo Skill"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19D100-A438-4BF1-BDBA-D775E9545DE4}" name="TablaDinámica1" cacheId="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2:B12" firstHeaderRow="1" firstDataRow="1" firstDataCol="1"/>
  <pivotFields count="11">
    <pivotField showAll="0"/>
    <pivotField showAll="0"/>
    <pivotField showAll="0"/>
    <pivotField showAll="0"/>
    <pivotField showAll="0"/>
    <pivotField axis="axisRow" dataField="1" showAll="0">
      <items count="10">
        <item x="3"/>
        <item x="1"/>
        <item x="6"/>
        <item x="5"/>
        <item x="7"/>
        <item x="4"/>
        <item x="0"/>
        <item x="2"/>
        <item x="8"/>
        <item t="default"/>
      </items>
    </pivotField>
    <pivotField showAll="0"/>
    <pivotField showAll="0"/>
    <pivotField showAll="0"/>
    <pivotField showAll="0"/>
    <pivotField showAll="0"/>
  </pivotFields>
  <rowFields count="1">
    <field x="5"/>
  </rowFields>
  <rowItems count="10">
    <i>
      <x/>
    </i>
    <i>
      <x v="1"/>
    </i>
    <i>
      <x v="2"/>
    </i>
    <i>
      <x v="3"/>
    </i>
    <i>
      <x v="4"/>
    </i>
    <i>
      <x v="5"/>
    </i>
    <i>
      <x v="6"/>
    </i>
    <i>
      <x v="7"/>
    </i>
    <i>
      <x v="8"/>
    </i>
    <i t="grand">
      <x/>
    </i>
  </rowItems>
  <colItems count="1">
    <i/>
  </colItems>
  <dataFields count="1">
    <dataField name="Cuenta de Tipo Skill"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9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941E3DD-A6A6-4EBC-AF90-75CC20707A1F}">
  <we:reference id="wa200009404" version="1.0.0.4" store="en-US" storeType="OMEX"/>
  <we:alternateReferences>
    <we:reference id="WA200009404" version="1.0.0.4" store="" storeType="OMEX"/>
  </we:alternateReferences>
  <we:properties>
    <we:property name="Office.AutoShowTaskpaneWithDocument" value="true"/>
  </we:properties>
  <we:bindings/>
  <we:snapshot xmlns:r="http://schemas.openxmlformats.org/officeDocument/2006/relationships"/>
</we:webextension>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9.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0"/>
  <sheetViews>
    <sheetView workbookViewId="0">
      <pane ySplit="1" topLeftCell="A2" activePane="bottomLeft" state="frozen"/>
      <selection pane="bottomLeft" activeCell="C3" sqref="C3"/>
    </sheetView>
  </sheetViews>
  <sheetFormatPr baseColWidth="10" defaultColWidth="9.1796875" defaultRowHeight="14.5" x14ac:dyDescent="0.35"/>
  <cols>
    <col min="1" max="1" width="12" customWidth="1"/>
    <col min="2" max="2" width="8" customWidth="1"/>
    <col min="3" max="3" width="40" customWidth="1"/>
    <col min="4" max="4" width="25" customWidth="1"/>
    <col min="5" max="5" width="20" customWidth="1"/>
    <col min="6" max="6" width="15" customWidth="1"/>
    <col min="7" max="7" width="10" customWidth="1"/>
    <col min="8" max="8" width="80" customWidth="1"/>
    <col min="9" max="9" width="40" customWidth="1"/>
  </cols>
  <sheetData>
    <row r="1" spans="1:9" x14ac:dyDescent="0.35">
      <c r="A1" s="1" t="s">
        <v>0</v>
      </c>
      <c r="B1" s="1" t="s">
        <v>1</v>
      </c>
      <c r="C1" s="1" t="s">
        <v>2</v>
      </c>
      <c r="D1" s="1" t="s">
        <v>3</v>
      </c>
      <c r="E1" s="1" t="s">
        <v>4</v>
      </c>
      <c r="F1" s="1" t="s">
        <v>5</v>
      </c>
      <c r="G1" s="1" t="s">
        <v>6</v>
      </c>
      <c r="H1" s="1" t="s">
        <v>7</v>
      </c>
      <c r="I1" s="1" t="s">
        <v>8</v>
      </c>
    </row>
    <row r="2" spans="1:9" ht="174" x14ac:dyDescent="0.35">
      <c r="A2" s="2">
        <v>1118026700</v>
      </c>
      <c r="B2" s="3" t="s">
        <v>1</v>
      </c>
      <c r="C2" s="2" t="s">
        <v>10</v>
      </c>
      <c r="D2" s="2" t="s">
        <v>11</v>
      </c>
      <c r="E2" s="2" t="s">
        <v>12</v>
      </c>
      <c r="F2" s="2" t="s">
        <v>13</v>
      </c>
      <c r="G2" s="2" t="s">
        <v>14</v>
      </c>
      <c r="H2" s="4" t="s">
        <v>15</v>
      </c>
      <c r="I2" s="2" t="s">
        <v>16</v>
      </c>
    </row>
    <row r="3" spans="1:9" ht="232" x14ac:dyDescent="0.35">
      <c r="A3" s="2" t="s">
        <v>17</v>
      </c>
      <c r="B3" s="3" t="s">
        <v>1</v>
      </c>
      <c r="C3" s="2" t="s">
        <v>18</v>
      </c>
      <c r="D3" s="2" t="s">
        <v>19</v>
      </c>
      <c r="E3" s="2" t="s">
        <v>12</v>
      </c>
      <c r="F3" s="2" t="s">
        <v>13</v>
      </c>
      <c r="G3" s="2" t="s">
        <v>14</v>
      </c>
      <c r="H3" s="4" t="s">
        <v>20</v>
      </c>
      <c r="I3" s="2" t="s">
        <v>21</v>
      </c>
    </row>
    <row r="4" spans="1:9" ht="130.5" x14ac:dyDescent="0.35">
      <c r="A4" s="2" t="s">
        <v>22</v>
      </c>
      <c r="B4" s="3" t="s">
        <v>1</v>
      </c>
      <c r="C4" s="2" t="s">
        <v>23</v>
      </c>
      <c r="D4" s="2" t="s">
        <v>24</v>
      </c>
      <c r="E4" s="2" t="s">
        <v>12</v>
      </c>
      <c r="F4" s="2" t="s">
        <v>25</v>
      </c>
      <c r="G4" s="2" t="s">
        <v>14</v>
      </c>
      <c r="H4" s="4" t="s">
        <v>26</v>
      </c>
      <c r="I4" s="2" t="s">
        <v>27</v>
      </c>
    </row>
    <row r="5" spans="1:9" ht="101.5" x14ac:dyDescent="0.35">
      <c r="A5" s="2" t="s">
        <v>28</v>
      </c>
      <c r="B5" s="3" t="s">
        <v>1</v>
      </c>
      <c r="C5" s="2" t="s">
        <v>29</v>
      </c>
      <c r="D5" s="2" t="s">
        <v>30</v>
      </c>
      <c r="E5" s="2" t="s">
        <v>31</v>
      </c>
      <c r="F5" s="2" t="s">
        <v>25</v>
      </c>
      <c r="G5" s="2" t="s">
        <v>14</v>
      </c>
      <c r="H5" s="4" t="s">
        <v>32</v>
      </c>
      <c r="I5" s="2" t="s">
        <v>33</v>
      </c>
    </row>
    <row r="6" spans="1:9" ht="409.5" x14ac:dyDescent="0.35">
      <c r="A6" s="2" t="s">
        <v>34</v>
      </c>
      <c r="B6" s="3" t="s">
        <v>1</v>
      </c>
      <c r="C6" s="2" t="s">
        <v>35</v>
      </c>
      <c r="D6" s="2" t="s">
        <v>36</v>
      </c>
      <c r="E6" s="2" t="s">
        <v>37</v>
      </c>
      <c r="F6" s="2" t="s">
        <v>25</v>
      </c>
      <c r="G6" s="2" t="s">
        <v>14</v>
      </c>
      <c r="H6" s="4" t="s">
        <v>38</v>
      </c>
      <c r="I6" s="2" t="s">
        <v>39</v>
      </c>
    </row>
    <row r="7" spans="1:9" ht="409.5" x14ac:dyDescent="0.35">
      <c r="A7" s="2" t="s">
        <v>40</v>
      </c>
      <c r="B7" s="3" t="s">
        <v>1</v>
      </c>
      <c r="C7" s="2" t="s">
        <v>41</v>
      </c>
      <c r="D7" s="2" t="s">
        <v>42</v>
      </c>
      <c r="E7" s="2" t="s">
        <v>43</v>
      </c>
      <c r="F7" s="2" t="s">
        <v>25</v>
      </c>
      <c r="G7" s="2" t="s">
        <v>14</v>
      </c>
      <c r="H7" s="4" t="s">
        <v>44</v>
      </c>
      <c r="I7" s="2" t="s">
        <v>45</v>
      </c>
    </row>
    <row r="8" spans="1:9" ht="188.5" x14ac:dyDescent="0.35">
      <c r="A8" s="2" t="s">
        <v>46</v>
      </c>
      <c r="B8" s="3" t="s">
        <v>1</v>
      </c>
      <c r="C8" s="2" t="s">
        <v>47</v>
      </c>
      <c r="D8" s="2" t="s">
        <v>48</v>
      </c>
      <c r="E8" s="2" t="s">
        <v>49</v>
      </c>
      <c r="F8" s="2" t="s">
        <v>25</v>
      </c>
      <c r="G8" s="2" t="s">
        <v>14</v>
      </c>
      <c r="H8" s="4" t="s">
        <v>50</v>
      </c>
      <c r="I8" s="2" t="s">
        <v>51</v>
      </c>
    </row>
    <row r="9" spans="1:9" ht="116" x14ac:dyDescent="0.35">
      <c r="A9" s="2" t="s">
        <v>52</v>
      </c>
      <c r="B9" s="3" t="s">
        <v>1</v>
      </c>
      <c r="C9" s="2" t="s">
        <v>53</v>
      </c>
      <c r="D9" s="2" t="s">
        <v>54</v>
      </c>
      <c r="E9" s="2" t="s">
        <v>55</v>
      </c>
      <c r="F9" s="2" t="s">
        <v>25</v>
      </c>
      <c r="G9" s="2" t="s">
        <v>14</v>
      </c>
      <c r="H9" s="4" t="s">
        <v>56</v>
      </c>
      <c r="I9" s="2" t="s">
        <v>57</v>
      </c>
    </row>
    <row r="10" spans="1:9" ht="87" x14ac:dyDescent="0.35">
      <c r="A10" s="2" t="s">
        <v>58</v>
      </c>
      <c r="B10" s="3" t="s">
        <v>1</v>
      </c>
      <c r="C10" s="2" t="s">
        <v>59</v>
      </c>
      <c r="D10" s="2" t="s">
        <v>60</v>
      </c>
      <c r="E10" s="2" t="s">
        <v>61</v>
      </c>
      <c r="F10" s="2" t="s">
        <v>25</v>
      </c>
      <c r="G10" s="2" t="s">
        <v>14</v>
      </c>
      <c r="H10" s="4" t="s">
        <v>62</v>
      </c>
      <c r="I10" s="2" t="s">
        <v>63</v>
      </c>
    </row>
    <row r="11" spans="1:9" ht="409.5" x14ac:dyDescent="0.35">
      <c r="A11" s="2" t="s">
        <v>64</v>
      </c>
      <c r="B11" s="3" t="s">
        <v>1</v>
      </c>
      <c r="C11" s="2" t="s">
        <v>65</v>
      </c>
      <c r="D11" s="2" t="s">
        <v>66</v>
      </c>
      <c r="E11" s="2" t="s">
        <v>67</v>
      </c>
      <c r="F11" s="2" t="s">
        <v>25</v>
      </c>
      <c r="G11" s="2" t="s">
        <v>14</v>
      </c>
      <c r="H11" s="4" t="s">
        <v>68</v>
      </c>
      <c r="I11" s="2" t="s">
        <v>69</v>
      </c>
    </row>
    <row r="12" spans="1:9" ht="362.5" x14ac:dyDescent="0.35">
      <c r="A12" s="2" t="s">
        <v>70</v>
      </c>
      <c r="B12" s="3" t="s">
        <v>1</v>
      </c>
      <c r="C12" s="2" t="s">
        <v>71</v>
      </c>
      <c r="D12" s="2" t="s">
        <v>72</v>
      </c>
      <c r="E12" s="2" t="s">
        <v>73</v>
      </c>
      <c r="F12" s="2" t="s">
        <v>25</v>
      </c>
      <c r="G12" s="2" t="s">
        <v>14</v>
      </c>
      <c r="H12" s="4" t="s">
        <v>74</v>
      </c>
      <c r="I12" s="2" t="s">
        <v>75</v>
      </c>
    </row>
    <row r="13" spans="1:9" ht="348" x14ac:dyDescent="0.35">
      <c r="A13" s="2" t="s">
        <v>76</v>
      </c>
      <c r="B13" s="3" t="s">
        <v>1</v>
      </c>
      <c r="C13" s="2" t="s">
        <v>77</v>
      </c>
      <c r="D13" s="2" t="s">
        <v>78</v>
      </c>
      <c r="E13" s="2" t="s">
        <v>12</v>
      </c>
      <c r="F13" s="2" t="s">
        <v>25</v>
      </c>
      <c r="G13" s="2" t="s">
        <v>14</v>
      </c>
      <c r="H13" s="4" t="s">
        <v>79</v>
      </c>
      <c r="I13" s="2" t="s">
        <v>80</v>
      </c>
    </row>
    <row r="14" spans="1:9" ht="72.5" x14ac:dyDescent="0.35">
      <c r="A14" s="2" t="s">
        <v>81</v>
      </c>
      <c r="B14" s="3" t="s">
        <v>1</v>
      </c>
      <c r="C14" s="2" t="s">
        <v>82</v>
      </c>
      <c r="D14" s="2" t="s">
        <v>83</v>
      </c>
      <c r="E14" s="2" t="s">
        <v>12</v>
      </c>
      <c r="F14" s="2" t="s">
        <v>84</v>
      </c>
      <c r="G14" s="2" t="s">
        <v>14</v>
      </c>
      <c r="H14" s="4" t="s">
        <v>85</v>
      </c>
      <c r="I14" s="2" t="s">
        <v>86</v>
      </c>
    </row>
    <row r="15" spans="1:9" ht="246.5" x14ac:dyDescent="0.35">
      <c r="A15" s="2" t="s">
        <v>87</v>
      </c>
      <c r="B15" s="3" t="s">
        <v>1</v>
      </c>
      <c r="C15" s="2" t="s">
        <v>88</v>
      </c>
      <c r="D15" s="2" t="s">
        <v>89</v>
      </c>
      <c r="E15" s="2" t="s">
        <v>90</v>
      </c>
      <c r="F15" s="2" t="s">
        <v>84</v>
      </c>
      <c r="G15" s="2" t="s">
        <v>14</v>
      </c>
      <c r="H15" s="4" t="s">
        <v>91</v>
      </c>
      <c r="I15" s="2" t="s">
        <v>92</v>
      </c>
    </row>
    <row r="16" spans="1:9" ht="232" x14ac:dyDescent="0.35">
      <c r="A16" s="2" t="s">
        <v>93</v>
      </c>
      <c r="B16" s="3" t="s">
        <v>1</v>
      </c>
      <c r="C16" s="2" t="s">
        <v>94</v>
      </c>
      <c r="D16" s="2" t="s">
        <v>95</v>
      </c>
      <c r="E16" s="2" t="s">
        <v>96</v>
      </c>
      <c r="F16" s="2" t="s">
        <v>84</v>
      </c>
      <c r="G16" s="2" t="s">
        <v>14</v>
      </c>
      <c r="H16" s="4" t="s">
        <v>97</v>
      </c>
      <c r="I16" s="2" t="s">
        <v>98</v>
      </c>
    </row>
    <row r="17" spans="1:9" ht="304.5" x14ac:dyDescent="0.35">
      <c r="A17" s="2" t="s">
        <v>99</v>
      </c>
      <c r="B17" s="3" t="s">
        <v>1</v>
      </c>
      <c r="C17" s="2" t="s">
        <v>100</v>
      </c>
      <c r="D17" s="2" t="s">
        <v>101</v>
      </c>
      <c r="E17" s="2" t="s">
        <v>96</v>
      </c>
      <c r="F17" s="2" t="s">
        <v>84</v>
      </c>
      <c r="G17" s="2" t="s">
        <v>14</v>
      </c>
      <c r="H17" s="4" t="s">
        <v>102</v>
      </c>
      <c r="I17" s="2" t="s">
        <v>103</v>
      </c>
    </row>
    <row r="18" spans="1:9" ht="217.5" x14ac:dyDescent="0.35">
      <c r="A18" s="2" t="s">
        <v>104</v>
      </c>
      <c r="B18" s="3" t="s">
        <v>1</v>
      </c>
      <c r="C18" s="2" t="s">
        <v>105</v>
      </c>
      <c r="D18" s="2" t="s">
        <v>106</v>
      </c>
      <c r="E18" s="2" t="s">
        <v>12</v>
      </c>
      <c r="F18" s="2" t="s">
        <v>84</v>
      </c>
      <c r="G18" s="2" t="s">
        <v>14</v>
      </c>
      <c r="H18" s="4" t="s">
        <v>107</v>
      </c>
      <c r="I18" s="2" t="s">
        <v>108</v>
      </c>
    </row>
    <row r="19" spans="1:9" ht="174" x14ac:dyDescent="0.35">
      <c r="A19" s="2" t="s">
        <v>109</v>
      </c>
      <c r="B19" s="3" t="s">
        <v>1</v>
      </c>
      <c r="C19" s="2" t="s">
        <v>110</v>
      </c>
      <c r="D19" s="2" t="s">
        <v>111</v>
      </c>
      <c r="E19" s="2" t="s">
        <v>37</v>
      </c>
      <c r="F19" s="2" t="s">
        <v>84</v>
      </c>
      <c r="G19" s="2" t="s">
        <v>14</v>
      </c>
      <c r="H19" s="4" t="s">
        <v>112</v>
      </c>
      <c r="I19" s="2" t="s">
        <v>113</v>
      </c>
    </row>
    <row r="20" spans="1:9" ht="290" x14ac:dyDescent="0.35">
      <c r="A20" s="2" t="s">
        <v>114</v>
      </c>
      <c r="B20" s="3" t="s">
        <v>1</v>
      </c>
      <c r="C20" s="2" t="s">
        <v>115</v>
      </c>
      <c r="D20" s="2" t="s">
        <v>116</v>
      </c>
      <c r="E20" s="2" t="s">
        <v>117</v>
      </c>
      <c r="F20" s="2" t="s">
        <v>118</v>
      </c>
      <c r="G20" s="2" t="s">
        <v>119</v>
      </c>
      <c r="H20" s="4" t="s">
        <v>120</v>
      </c>
      <c r="I20" s="2" t="s">
        <v>121</v>
      </c>
    </row>
    <row r="21" spans="1:9" ht="409.5" x14ac:dyDescent="0.35">
      <c r="A21" s="2" t="s">
        <v>122</v>
      </c>
      <c r="B21" s="3" t="s">
        <v>1</v>
      </c>
      <c r="C21" s="2" t="s">
        <v>123</v>
      </c>
      <c r="D21" s="2" t="s">
        <v>95</v>
      </c>
      <c r="E21" s="2" t="s">
        <v>124</v>
      </c>
      <c r="F21" s="2" t="s">
        <v>125</v>
      </c>
      <c r="G21" s="2" t="s">
        <v>14</v>
      </c>
      <c r="H21" s="4" t="s">
        <v>126</v>
      </c>
      <c r="I21" s="2" t="s">
        <v>127</v>
      </c>
    </row>
    <row r="22" spans="1:9" ht="101.5" x14ac:dyDescent="0.35">
      <c r="A22" s="2" t="s">
        <v>128</v>
      </c>
      <c r="B22" s="3" t="s">
        <v>1</v>
      </c>
      <c r="C22" s="2" t="s">
        <v>129</v>
      </c>
      <c r="D22" s="2" t="s">
        <v>130</v>
      </c>
      <c r="E22" s="2" t="s">
        <v>131</v>
      </c>
      <c r="F22" s="2" t="s">
        <v>132</v>
      </c>
      <c r="G22" s="2" t="s">
        <v>14</v>
      </c>
      <c r="H22" s="4" t="s">
        <v>133</v>
      </c>
      <c r="I22" s="2" t="s">
        <v>134</v>
      </c>
    </row>
    <row r="23" spans="1:9" ht="159.5" x14ac:dyDescent="0.35">
      <c r="A23" s="2" t="s">
        <v>135</v>
      </c>
      <c r="B23" s="3" t="s">
        <v>1</v>
      </c>
      <c r="C23" s="2" t="s">
        <v>136</v>
      </c>
      <c r="D23" s="2" t="s">
        <v>95</v>
      </c>
      <c r="E23" s="2" t="s">
        <v>137</v>
      </c>
      <c r="F23" s="2" t="s">
        <v>138</v>
      </c>
      <c r="G23" s="2" t="s">
        <v>14</v>
      </c>
      <c r="H23" s="4" t="s">
        <v>139</v>
      </c>
      <c r="I23" s="2" t="s">
        <v>140</v>
      </c>
    </row>
    <row r="24" spans="1:9" ht="261" x14ac:dyDescent="0.35">
      <c r="A24" s="2" t="s">
        <v>141</v>
      </c>
      <c r="B24" s="3" t="s">
        <v>1</v>
      </c>
      <c r="C24" s="2" t="s">
        <v>142</v>
      </c>
      <c r="D24" s="2" t="s">
        <v>95</v>
      </c>
      <c r="E24" s="2" t="s">
        <v>12</v>
      </c>
      <c r="F24" s="2" t="s">
        <v>143</v>
      </c>
      <c r="G24" s="2" t="s">
        <v>14</v>
      </c>
      <c r="H24" s="4" t="s">
        <v>144</v>
      </c>
      <c r="I24" s="2" t="s">
        <v>145</v>
      </c>
    </row>
    <row r="25" spans="1:9" ht="246.5" x14ac:dyDescent="0.35">
      <c r="A25" s="2" t="s">
        <v>146</v>
      </c>
      <c r="B25" s="3" t="s">
        <v>1</v>
      </c>
      <c r="C25" s="2" t="s">
        <v>147</v>
      </c>
      <c r="D25" s="2" t="s">
        <v>19</v>
      </c>
      <c r="E25" s="2" t="s">
        <v>12</v>
      </c>
      <c r="F25" s="2" t="s">
        <v>148</v>
      </c>
      <c r="G25" s="2" t="s">
        <v>14</v>
      </c>
      <c r="H25" s="4" t="s">
        <v>149</v>
      </c>
      <c r="I25" s="2" t="s">
        <v>150</v>
      </c>
    </row>
    <row r="26" spans="1:9" ht="348" x14ac:dyDescent="0.35">
      <c r="A26" s="2" t="s">
        <v>151</v>
      </c>
      <c r="B26" s="3" t="s">
        <v>1</v>
      </c>
      <c r="C26" s="2" t="s">
        <v>152</v>
      </c>
      <c r="D26" s="2" t="s">
        <v>153</v>
      </c>
      <c r="E26" s="2" t="s">
        <v>12</v>
      </c>
      <c r="F26" s="2" t="s">
        <v>154</v>
      </c>
      <c r="G26" s="2" t="s">
        <v>14</v>
      </c>
      <c r="H26" s="4" t="s">
        <v>155</v>
      </c>
      <c r="I26" s="2" t="s">
        <v>156</v>
      </c>
    </row>
    <row r="27" spans="1:9" ht="290" x14ac:dyDescent="0.35">
      <c r="A27" s="2" t="s">
        <v>157</v>
      </c>
      <c r="B27" s="3" t="s">
        <v>1</v>
      </c>
      <c r="C27" s="2" t="s">
        <v>158</v>
      </c>
      <c r="D27" s="2" t="s">
        <v>159</v>
      </c>
      <c r="E27" s="2" t="s">
        <v>160</v>
      </c>
      <c r="F27" s="2" t="s">
        <v>132</v>
      </c>
      <c r="G27" s="2" t="s">
        <v>14</v>
      </c>
      <c r="H27" s="4" t="s">
        <v>161</v>
      </c>
      <c r="I27" s="2" t="s">
        <v>162</v>
      </c>
    </row>
    <row r="28" spans="1:9" ht="174" x14ac:dyDescent="0.35">
      <c r="A28" s="2" t="s">
        <v>163</v>
      </c>
      <c r="B28" s="3" t="s">
        <v>1</v>
      </c>
      <c r="C28" s="2" t="s">
        <v>164</v>
      </c>
      <c r="D28" s="2" t="s">
        <v>165</v>
      </c>
      <c r="E28" s="2" t="s">
        <v>166</v>
      </c>
      <c r="F28" s="2" t="s">
        <v>167</v>
      </c>
      <c r="G28" s="2" t="s">
        <v>14</v>
      </c>
      <c r="H28" s="4" t="s">
        <v>168</v>
      </c>
      <c r="I28" s="2" t="s">
        <v>169</v>
      </c>
    </row>
    <row r="29" spans="1:9" ht="290" x14ac:dyDescent="0.35">
      <c r="A29" s="2" t="s">
        <v>170</v>
      </c>
      <c r="B29" s="3" t="s">
        <v>1</v>
      </c>
      <c r="C29" s="2" t="s">
        <v>171</v>
      </c>
      <c r="D29" s="2" t="s">
        <v>172</v>
      </c>
      <c r="E29" s="2" t="s">
        <v>173</v>
      </c>
      <c r="F29" s="2" t="s">
        <v>174</v>
      </c>
      <c r="G29" s="2" t="s">
        <v>14</v>
      </c>
      <c r="H29" s="4" t="s">
        <v>175</v>
      </c>
      <c r="I29" s="2" t="s">
        <v>176</v>
      </c>
    </row>
    <row r="30" spans="1:9" ht="130.5" x14ac:dyDescent="0.35">
      <c r="A30" s="2" t="s">
        <v>177</v>
      </c>
      <c r="B30" s="3" t="s">
        <v>1</v>
      </c>
      <c r="C30" s="2" t="s">
        <v>178</v>
      </c>
      <c r="D30" s="2" t="s">
        <v>179</v>
      </c>
      <c r="E30" s="2" t="s">
        <v>180</v>
      </c>
      <c r="F30" s="2" t="s">
        <v>84</v>
      </c>
      <c r="G30" s="2" t="s">
        <v>14</v>
      </c>
      <c r="H30" s="4" t="s">
        <v>181</v>
      </c>
      <c r="I30" s="2" t="s">
        <v>182</v>
      </c>
    </row>
    <row r="31" spans="1:9" ht="261" x14ac:dyDescent="0.35">
      <c r="A31" s="2" t="s">
        <v>183</v>
      </c>
      <c r="B31" s="3" t="s">
        <v>1</v>
      </c>
      <c r="C31" s="2" t="s">
        <v>184</v>
      </c>
      <c r="D31" s="2" t="s">
        <v>185</v>
      </c>
      <c r="E31" s="2" t="s">
        <v>186</v>
      </c>
      <c r="F31" s="2" t="s">
        <v>187</v>
      </c>
      <c r="G31" s="2" t="s">
        <v>119</v>
      </c>
      <c r="H31" s="4" t="s">
        <v>188</v>
      </c>
      <c r="I31" s="2" t="s">
        <v>189</v>
      </c>
    </row>
    <row r="32" spans="1:9" ht="159.5" x14ac:dyDescent="0.35">
      <c r="A32" s="2" t="s">
        <v>190</v>
      </c>
      <c r="B32" s="3" t="s">
        <v>1</v>
      </c>
      <c r="C32" s="2" t="s">
        <v>191</v>
      </c>
      <c r="D32" s="2" t="s">
        <v>192</v>
      </c>
      <c r="E32" s="2" t="s">
        <v>193</v>
      </c>
      <c r="F32" s="2" t="s">
        <v>194</v>
      </c>
      <c r="G32" s="2" t="s">
        <v>119</v>
      </c>
      <c r="H32" s="4" t="s">
        <v>195</v>
      </c>
      <c r="I32" s="2" t="s">
        <v>196</v>
      </c>
    </row>
    <row r="33" spans="1:9" ht="159.5" x14ac:dyDescent="0.35">
      <c r="A33" s="2" t="s">
        <v>197</v>
      </c>
      <c r="B33" s="3" t="s">
        <v>1</v>
      </c>
      <c r="C33" s="2" t="s">
        <v>198</v>
      </c>
      <c r="D33" s="2" t="s">
        <v>199</v>
      </c>
      <c r="E33" s="2" t="s">
        <v>73</v>
      </c>
      <c r="F33" s="2" t="s">
        <v>200</v>
      </c>
      <c r="G33" s="2" t="s">
        <v>119</v>
      </c>
      <c r="H33" s="4" t="s">
        <v>201</v>
      </c>
      <c r="I33" s="2" t="s">
        <v>202</v>
      </c>
    </row>
    <row r="34" spans="1:9" ht="246.5" x14ac:dyDescent="0.35">
      <c r="A34" s="2" t="s">
        <v>203</v>
      </c>
      <c r="B34" s="3" t="s">
        <v>1</v>
      </c>
      <c r="C34" s="2" t="s">
        <v>204</v>
      </c>
      <c r="D34" s="2" t="s">
        <v>95</v>
      </c>
      <c r="E34" s="2" t="s">
        <v>205</v>
      </c>
      <c r="F34" s="2" t="s">
        <v>206</v>
      </c>
      <c r="G34" s="2" t="s">
        <v>14</v>
      </c>
      <c r="H34" s="4" t="s">
        <v>207</v>
      </c>
      <c r="I34" s="2" t="s">
        <v>208</v>
      </c>
    </row>
    <row r="35" spans="1:9" ht="116" x14ac:dyDescent="0.35">
      <c r="A35" s="2" t="s">
        <v>209</v>
      </c>
      <c r="B35" s="3" t="s">
        <v>1</v>
      </c>
      <c r="C35" s="2" t="s">
        <v>210</v>
      </c>
      <c r="D35" s="2" t="s">
        <v>60</v>
      </c>
      <c r="E35" s="2" t="s">
        <v>211</v>
      </c>
      <c r="F35" s="2" t="s">
        <v>132</v>
      </c>
      <c r="G35" s="2" t="s">
        <v>14</v>
      </c>
      <c r="H35" s="4" t="s">
        <v>212</v>
      </c>
      <c r="I35" s="2" t="s">
        <v>213</v>
      </c>
    </row>
    <row r="36" spans="1:9" ht="87" x14ac:dyDescent="0.35">
      <c r="A36" s="2" t="s">
        <v>214</v>
      </c>
      <c r="B36" s="3" t="s">
        <v>1</v>
      </c>
      <c r="C36" s="2" t="s">
        <v>215</v>
      </c>
      <c r="D36" s="2" t="s">
        <v>216</v>
      </c>
      <c r="E36" s="2" t="s">
        <v>211</v>
      </c>
      <c r="F36" s="2" t="s">
        <v>217</v>
      </c>
      <c r="G36" s="2" t="s">
        <v>14</v>
      </c>
      <c r="H36" s="4" t="s">
        <v>218</v>
      </c>
      <c r="I36" s="2" t="s">
        <v>219</v>
      </c>
    </row>
    <row r="37" spans="1:9" ht="217.5" x14ac:dyDescent="0.35">
      <c r="A37" s="2" t="s">
        <v>220</v>
      </c>
      <c r="B37" s="3" t="s">
        <v>1</v>
      </c>
      <c r="C37" s="2" t="s">
        <v>221</v>
      </c>
      <c r="D37" s="2" t="s">
        <v>19</v>
      </c>
      <c r="E37" s="2" t="s">
        <v>222</v>
      </c>
      <c r="F37" s="2" t="s">
        <v>194</v>
      </c>
      <c r="G37" s="2" t="s">
        <v>14</v>
      </c>
      <c r="H37" s="4" t="s">
        <v>223</v>
      </c>
      <c r="I37" s="2" t="s">
        <v>224</v>
      </c>
    </row>
    <row r="38" spans="1:9" ht="130.5" x14ac:dyDescent="0.35">
      <c r="A38" s="2" t="s">
        <v>225</v>
      </c>
      <c r="B38" s="3" t="s">
        <v>1</v>
      </c>
      <c r="C38" s="2" t="s">
        <v>226</v>
      </c>
      <c r="D38" s="2" t="s">
        <v>227</v>
      </c>
      <c r="E38" s="2" t="s">
        <v>228</v>
      </c>
      <c r="F38" s="2" t="s">
        <v>229</v>
      </c>
      <c r="G38" s="2" t="s">
        <v>14</v>
      </c>
      <c r="H38" s="4" t="s">
        <v>230</v>
      </c>
      <c r="I38" s="2" t="s">
        <v>231</v>
      </c>
    </row>
    <row r="39" spans="1:9" ht="409.5" x14ac:dyDescent="0.35">
      <c r="A39" s="2" t="s">
        <v>232</v>
      </c>
      <c r="B39" s="3" t="s">
        <v>1</v>
      </c>
      <c r="C39" s="2" t="s">
        <v>233</v>
      </c>
      <c r="D39" s="2" t="s">
        <v>234</v>
      </c>
      <c r="E39" s="2" t="s">
        <v>235</v>
      </c>
      <c r="F39" s="2" t="s">
        <v>236</v>
      </c>
      <c r="G39" s="2" t="s">
        <v>14</v>
      </c>
      <c r="H39" s="4" t="s">
        <v>237</v>
      </c>
      <c r="I39" s="2" t="s">
        <v>238</v>
      </c>
    </row>
    <row r="40" spans="1:9" ht="362.5" x14ac:dyDescent="0.35">
      <c r="A40" s="2" t="s">
        <v>239</v>
      </c>
      <c r="B40" s="3" t="s">
        <v>1</v>
      </c>
      <c r="C40" s="2" t="s">
        <v>240</v>
      </c>
      <c r="D40" s="2" t="s">
        <v>241</v>
      </c>
      <c r="E40" s="2" t="s">
        <v>12</v>
      </c>
      <c r="F40" s="2" t="s">
        <v>125</v>
      </c>
      <c r="G40" s="2" t="s">
        <v>14</v>
      </c>
      <c r="H40" s="4" t="s">
        <v>242</v>
      </c>
      <c r="I40" s="2" t="s">
        <v>243</v>
      </c>
    </row>
    <row r="41" spans="1:9" ht="174" x14ac:dyDescent="0.35">
      <c r="A41" s="2" t="s">
        <v>244</v>
      </c>
      <c r="B41" s="3" t="s">
        <v>1</v>
      </c>
      <c r="C41" s="2" t="s">
        <v>245</v>
      </c>
      <c r="D41" s="2" t="s">
        <v>246</v>
      </c>
      <c r="E41" s="2" t="s">
        <v>12</v>
      </c>
      <c r="F41" s="2" t="s">
        <v>247</v>
      </c>
      <c r="G41" s="2" t="s">
        <v>14</v>
      </c>
      <c r="H41" s="4" t="s">
        <v>248</v>
      </c>
      <c r="I41" s="2" t="s">
        <v>249</v>
      </c>
    </row>
    <row r="42" spans="1:9" ht="232" x14ac:dyDescent="0.35">
      <c r="A42" s="2" t="s">
        <v>250</v>
      </c>
      <c r="B42" s="3" t="s">
        <v>1</v>
      </c>
      <c r="C42" s="2" t="s">
        <v>251</v>
      </c>
      <c r="D42" s="2" t="s">
        <v>252</v>
      </c>
      <c r="E42" s="2" t="s">
        <v>253</v>
      </c>
      <c r="F42" s="2" t="s">
        <v>254</v>
      </c>
      <c r="G42" s="2" t="s">
        <v>14</v>
      </c>
      <c r="H42" s="4" t="s">
        <v>255</v>
      </c>
      <c r="I42" s="2" t="s">
        <v>256</v>
      </c>
    </row>
    <row r="43" spans="1:9" ht="232" x14ac:dyDescent="0.35">
      <c r="A43" s="2" t="s">
        <v>257</v>
      </c>
      <c r="B43" s="3" t="s">
        <v>1</v>
      </c>
      <c r="C43" s="2" t="s">
        <v>258</v>
      </c>
      <c r="D43" s="2" t="s">
        <v>30</v>
      </c>
      <c r="E43" s="2" t="s">
        <v>259</v>
      </c>
      <c r="F43" s="2" t="s">
        <v>254</v>
      </c>
      <c r="G43" s="2" t="s">
        <v>14</v>
      </c>
      <c r="H43" s="4" t="s">
        <v>260</v>
      </c>
      <c r="I43" s="2" t="s">
        <v>261</v>
      </c>
    </row>
    <row r="44" spans="1:9" ht="275.5" x14ac:dyDescent="0.35">
      <c r="A44" s="2" t="s">
        <v>262</v>
      </c>
      <c r="B44" s="3" t="s">
        <v>1</v>
      </c>
      <c r="C44" s="2" t="s">
        <v>263</v>
      </c>
      <c r="D44" s="2" t="s">
        <v>264</v>
      </c>
      <c r="E44" s="2" t="s">
        <v>160</v>
      </c>
      <c r="F44" s="2" t="s">
        <v>200</v>
      </c>
      <c r="G44" s="2" t="s">
        <v>14</v>
      </c>
      <c r="H44" s="4" t="s">
        <v>265</v>
      </c>
      <c r="I44" s="2" t="s">
        <v>266</v>
      </c>
    </row>
    <row r="45" spans="1:9" ht="362.5" x14ac:dyDescent="0.35">
      <c r="A45" s="2" t="s">
        <v>267</v>
      </c>
      <c r="B45" s="3" t="s">
        <v>1</v>
      </c>
      <c r="C45" s="2" t="s">
        <v>268</v>
      </c>
      <c r="D45" s="2" t="s">
        <v>269</v>
      </c>
      <c r="E45" s="2" t="s">
        <v>270</v>
      </c>
      <c r="F45" s="2" t="s">
        <v>271</v>
      </c>
      <c r="G45" s="2" t="s">
        <v>119</v>
      </c>
      <c r="H45" s="4" t="s">
        <v>272</v>
      </c>
      <c r="I45" s="2" t="s">
        <v>273</v>
      </c>
    </row>
    <row r="46" spans="1:9" ht="217.5" x14ac:dyDescent="0.35">
      <c r="A46" s="2" t="s">
        <v>274</v>
      </c>
      <c r="B46" s="3" t="s">
        <v>1</v>
      </c>
      <c r="C46" s="2" t="s">
        <v>275</v>
      </c>
      <c r="D46" s="2" t="s">
        <v>276</v>
      </c>
      <c r="E46" s="2" t="s">
        <v>228</v>
      </c>
      <c r="F46" s="2" t="s">
        <v>277</v>
      </c>
      <c r="G46" s="2" t="s">
        <v>14</v>
      </c>
      <c r="H46" s="4" t="s">
        <v>278</v>
      </c>
      <c r="I46" s="2" t="s">
        <v>279</v>
      </c>
    </row>
    <row r="47" spans="1:9" ht="174" x14ac:dyDescent="0.35">
      <c r="A47" s="2" t="s">
        <v>280</v>
      </c>
      <c r="B47" s="3" t="s">
        <v>1</v>
      </c>
      <c r="C47" s="2" t="s">
        <v>281</v>
      </c>
      <c r="D47" s="2" t="s">
        <v>282</v>
      </c>
      <c r="E47" s="2" t="s">
        <v>283</v>
      </c>
      <c r="F47" s="2" t="s">
        <v>254</v>
      </c>
      <c r="G47" s="2" t="s">
        <v>14</v>
      </c>
      <c r="H47" s="4" t="s">
        <v>284</v>
      </c>
      <c r="I47" s="2" t="s">
        <v>285</v>
      </c>
    </row>
    <row r="48" spans="1:9" ht="275.5" x14ac:dyDescent="0.35">
      <c r="A48" s="2" t="s">
        <v>286</v>
      </c>
      <c r="B48" s="3" t="s">
        <v>1</v>
      </c>
      <c r="C48" s="2" t="s">
        <v>287</v>
      </c>
      <c r="D48" s="2" t="s">
        <v>288</v>
      </c>
      <c r="E48" s="2" t="s">
        <v>12</v>
      </c>
      <c r="F48" s="2" t="s">
        <v>289</v>
      </c>
      <c r="G48" s="2" t="s">
        <v>14</v>
      </c>
      <c r="H48" s="4" t="s">
        <v>290</v>
      </c>
      <c r="I48" s="2" t="s">
        <v>291</v>
      </c>
    </row>
    <row r="49" spans="1:9" ht="232" x14ac:dyDescent="0.35">
      <c r="A49" s="2" t="s">
        <v>292</v>
      </c>
      <c r="B49" s="3" t="s">
        <v>1</v>
      </c>
      <c r="C49" s="2" t="s">
        <v>293</v>
      </c>
      <c r="D49" s="2" t="s">
        <v>294</v>
      </c>
      <c r="E49" s="2" t="s">
        <v>12</v>
      </c>
      <c r="F49" s="2" t="s">
        <v>254</v>
      </c>
      <c r="G49" s="2" t="s">
        <v>14</v>
      </c>
      <c r="H49" s="4" t="s">
        <v>295</v>
      </c>
      <c r="I49" s="2" t="s">
        <v>296</v>
      </c>
    </row>
    <row r="50" spans="1:9" ht="409.5" x14ac:dyDescent="0.35">
      <c r="A50" s="2" t="s">
        <v>297</v>
      </c>
      <c r="B50" s="3" t="s">
        <v>1</v>
      </c>
      <c r="C50" s="2" t="s">
        <v>298</v>
      </c>
      <c r="D50" s="2" t="s">
        <v>95</v>
      </c>
      <c r="E50" s="2" t="s">
        <v>12</v>
      </c>
      <c r="F50" s="2" t="s">
        <v>148</v>
      </c>
      <c r="G50" s="2" t="s">
        <v>14</v>
      </c>
      <c r="H50" s="4" t="s">
        <v>299</v>
      </c>
      <c r="I50" s="2" t="s">
        <v>300</v>
      </c>
    </row>
  </sheetData>
  <autoFilter ref="A1:I50" xr:uid="{00000000-0009-0000-0000-000000000000}"/>
  <hyperlinks>
    <hyperlink ref="B2" location="'02_NLP_Extraccion'!A2" display="→ NLP" xr:uid="{00000000-0004-0000-0000-000000000000}"/>
    <hyperlink ref="B3" location="'02_NLP_Extraccion'!A3" display="→ NLP" xr:uid="{00000000-0004-0000-0000-000001000000}"/>
    <hyperlink ref="B4" location="'02_NLP_Extraccion'!A4" display="→ NLP" xr:uid="{00000000-0004-0000-0000-000002000000}"/>
    <hyperlink ref="B5" location="'02_NLP_Extraccion'!A5" display="→ NLP" xr:uid="{00000000-0004-0000-0000-000003000000}"/>
    <hyperlink ref="B6" location="'02_NLP_Extraccion'!A6" display="→ NLP" xr:uid="{00000000-0004-0000-0000-000004000000}"/>
    <hyperlink ref="B7" location="'02_NLP_Extraccion'!A7" display="→ NLP" xr:uid="{00000000-0004-0000-0000-000005000000}"/>
    <hyperlink ref="B8" location="'02_NLP_Extraccion'!A8" display="→ NLP" xr:uid="{00000000-0004-0000-0000-000006000000}"/>
    <hyperlink ref="B9" location="'02_NLP_Extraccion'!A9" display="→ NLP" xr:uid="{00000000-0004-0000-0000-000007000000}"/>
    <hyperlink ref="B10" location="'02_NLP_Extraccion'!A10" display="→ NLP" xr:uid="{00000000-0004-0000-0000-000008000000}"/>
    <hyperlink ref="B11" location="'02_NLP_Extraccion'!A11" display="→ NLP" xr:uid="{00000000-0004-0000-0000-000009000000}"/>
    <hyperlink ref="B12" location="'02_NLP_Extraccion'!A12" display="→ NLP" xr:uid="{00000000-0004-0000-0000-00000A000000}"/>
    <hyperlink ref="B13" location="'02_NLP_Extraccion'!A13" display="→ NLP" xr:uid="{00000000-0004-0000-0000-00000B000000}"/>
    <hyperlink ref="B14" location="'02_NLP_Extraccion'!A14" display="→ NLP" xr:uid="{00000000-0004-0000-0000-00000C000000}"/>
    <hyperlink ref="B15" location="'02_NLP_Extraccion'!A15" display="→ NLP" xr:uid="{00000000-0004-0000-0000-00000D000000}"/>
    <hyperlink ref="B16" location="'02_NLP_Extraccion'!A16" display="→ NLP" xr:uid="{00000000-0004-0000-0000-00000E000000}"/>
    <hyperlink ref="B17" location="'02_NLP_Extraccion'!A17" display="→ NLP" xr:uid="{00000000-0004-0000-0000-00000F000000}"/>
    <hyperlink ref="B18" location="'02_NLP_Extraccion'!A18" display="→ NLP" xr:uid="{00000000-0004-0000-0000-000010000000}"/>
    <hyperlink ref="B19" location="'02_NLP_Extraccion'!A19" display="→ NLP" xr:uid="{00000000-0004-0000-0000-000011000000}"/>
    <hyperlink ref="B20" location="'02_NLP_Extraccion'!A20" display="→ NLP" xr:uid="{00000000-0004-0000-0000-000012000000}"/>
    <hyperlink ref="B21" location="'02_NLP_Extraccion'!A21" display="→ NLP" xr:uid="{00000000-0004-0000-0000-000013000000}"/>
    <hyperlink ref="B22" location="'02_NLP_Extraccion'!A22" display="→ NLP" xr:uid="{00000000-0004-0000-0000-000014000000}"/>
    <hyperlink ref="B23" location="'02_NLP_Extraccion'!A23" display="→ NLP" xr:uid="{00000000-0004-0000-0000-000015000000}"/>
    <hyperlink ref="B24" location="'02_NLP_Extraccion'!A24" display="→ NLP" xr:uid="{00000000-0004-0000-0000-000016000000}"/>
    <hyperlink ref="B25" location="'02_NLP_Extraccion'!A25" display="→ NLP" xr:uid="{00000000-0004-0000-0000-000017000000}"/>
    <hyperlink ref="B26" location="'02_NLP_Extraccion'!A26" display="→ NLP" xr:uid="{00000000-0004-0000-0000-000018000000}"/>
    <hyperlink ref="B27" location="'02_NLP_Extraccion'!A27" display="→ NLP" xr:uid="{00000000-0004-0000-0000-000019000000}"/>
    <hyperlink ref="B28" location="'02_NLP_Extraccion'!A28" display="→ NLP" xr:uid="{00000000-0004-0000-0000-00001A000000}"/>
    <hyperlink ref="B29" location="'02_NLP_Extraccion'!A29" display="→ NLP" xr:uid="{00000000-0004-0000-0000-00001B000000}"/>
    <hyperlink ref="B30" location="'02_NLP_Extraccion'!A30" display="→ NLP" xr:uid="{00000000-0004-0000-0000-00001C000000}"/>
    <hyperlink ref="B31" location="'02_NLP_Extraccion'!A31" display="→ NLP" xr:uid="{00000000-0004-0000-0000-00001D000000}"/>
    <hyperlink ref="B32" location="'02_NLP_Extraccion'!A32" display="→ NLP" xr:uid="{00000000-0004-0000-0000-00001E000000}"/>
    <hyperlink ref="B33" location="'02_NLP_Extraccion'!A33" display="→ NLP" xr:uid="{00000000-0004-0000-0000-00001F000000}"/>
    <hyperlink ref="B34" location="'02_NLP_Extraccion'!A34" display="→ NLP" xr:uid="{00000000-0004-0000-0000-000020000000}"/>
    <hyperlink ref="B35" location="'02_NLP_Extraccion'!A35" display="→ NLP" xr:uid="{00000000-0004-0000-0000-000021000000}"/>
    <hyperlink ref="B36" location="'02_NLP_Extraccion'!A36" display="→ NLP" xr:uid="{00000000-0004-0000-0000-000022000000}"/>
    <hyperlink ref="B37" location="'02_NLP_Extraccion'!A37" display="→ NLP" xr:uid="{00000000-0004-0000-0000-000023000000}"/>
    <hyperlink ref="B38" location="'02_NLP_Extraccion'!A38" display="→ NLP" xr:uid="{00000000-0004-0000-0000-000024000000}"/>
    <hyperlink ref="B39" location="'02_NLP_Extraccion'!A39" display="→ NLP" xr:uid="{00000000-0004-0000-0000-000025000000}"/>
    <hyperlink ref="B40" location="'02_NLP_Extraccion'!A40" display="→ NLP" xr:uid="{00000000-0004-0000-0000-000026000000}"/>
    <hyperlink ref="B41" location="'02_NLP_Extraccion'!A41" display="→ NLP" xr:uid="{00000000-0004-0000-0000-000027000000}"/>
    <hyperlink ref="B42" location="'02_NLP_Extraccion'!A42" display="→ NLP" xr:uid="{00000000-0004-0000-0000-000028000000}"/>
    <hyperlink ref="B43" location="'02_NLP_Extraccion'!A43" display="→ NLP" xr:uid="{00000000-0004-0000-0000-000029000000}"/>
    <hyperlink ref="B44" location="'02_NLP_Extraccion'!A44" display="→ NLP" xr:uid="{00000000-0004-0000-0000-00002A000000}"/>
    <hyperlink ref="B45" location="'02_NLP_Extraccion'!A45" display="→ NLP" xr:uid="{00000000-0004-0000-0000-00002B000000}"/>
    <hyperlink ref="B46" location="'02_NLP_Extraccion'!A46" display="→ NLP" xr:uid="{00000000-0004-0000-0000-00002C000000}"/>
    <hyperlink ref="B47" location="'02_NLP_Extraccion'!A47" display="→ NLP" xr:uid="{00000000-0004-0000-0000-00002D000000}"/>
    <hyperlink ref="B48" location="'02_NLP_Extraccion'!A48" display="→ NLP" xr:uid="{00000000-0004-0000-0000-00002E000000}"/>
    <hyperlink ref="B49" location="'02_NLP_Extraccion'!A49" display="→ NLP" xr:uid="{00000000-0004-0000-0000-00002F000000}"/>
    <hyperlink ref="B50" location="'02_NLP_Extraccion'!A50" display="→ NLP" xr:uid="{00000000-0004-0000-0000-000030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Q50"/>
  <sheetViews>
    <sheetView workbookViewId="0">
      <pane xSplit="3" ySplit="1" topLeftCell="D45" activePane="bottomRight" state="frozen"/>
      <selection pane="topRight"/>
      <selection pane="bottomLeft"/>
      <selection pane="bottomRight" activeCell="A45" sqref="A45"/>
    </sheetView>
  </sheetViews>
  <sheetFormatPr baseColWidth="10" defaultColWidth="9.1796875" defaultRowHeight="14.5" x14ac:dyDescent="0.35"/>
  <cols>
    <col min="1" max="1" width="12" customWidth="1"/>
    <col min="2" max="3" width="10" customWidth="1"/>
    <col min="4" max="43" width="18" customWidth="1"/>
  </cols>
  <sheetData>
    <row r="1" spans="1:43" ht="26" x14ac:dyDescent="0.35">
      <c r="A1" s="5" t="s">
        <v>0</v>
      </c>
      <c r="B1" s="5" t="s">
        <v>301</v>
      </c>
      <c r="C1" s="5" t="s">
        <v>302</v>
      </c>
      <c r="D1" s="6" t="s">
        <v>303</v>
      </c>
      <c r="E1" s="7" t="s">
        <v>304</v>
      </c>
      <c r="F1" s="7" t="s">
        <v>305</v>
      </c>
      <c r="G1" s="7" t="s">
        <v>306</v>
      </c>
      <c r="H1" s="7" t="s">
        <v>307</v>
      </c>
      <c r="I1" s="7" t="s">
        <v>308</v>
      </c>
      <c r="J1" s="8" t="s">
        <v>309</v>
      </c>
      <c r="K1" s="8" t="s">
        <v>310</v>
      </c>
      <c r="L1" s="8" t="s">
        <v>311</v>
      </c>
      <c r="M1" s="1" t="s">
        <v>312</v>
      </c>
      <c r="N1" s="1" t="s">
        <v>313</v>
      </c>
      <c r="O1" s="1" t="s">
        <v>314</v>
      </c>
      <c r="P1" s="1" t="s">
        <v>315</v>
      </c>
      <c r="Q1" s="9" t="s">
        <v>316</v>
      </c>
      <c r="R1" s="9" t="s">
        <v>317</v>
      </c>
      <c r="S1" s="10" t="s">
        <v>318</v>
      </c>
      <c r="T1" s="10" t="s">
        <v>319</v>
      </c>
      <c r="U1" s="11" t="s">
        <v>320</v>
      </c>
      <c r="V1" s="11" t="s">
        <v>321</v>
      </c>
      <c r="W1" s="11" t="s">
        <v>322</v>
      </c>
      <c r="X1" s="12" t="s">
        <v>323</v>
      </c>
      <c r="Y1" s="12" t="s">
        <v>324</v>
      </c>
      <c r="Z1" s="12" t="s">
        <v>325</v>
      </c>
      <c r="AA1" s="12" t="s">
        <v>326</v>
      </c>
      <c r="AB1" s="6" t="s">
        <v>327</v>
      </c>
      <c r="AC1" s="6" t="s">
        <v>328</v>
      </c>
      <c r="AD1" s="13" t="s">
        <v>329</v>
      </c>
      <c r="AE1" s="13" t="s">
        <v>330</v>
      </c>
      <c r="AF1" s="14" t="s">
        <v>331</v>
      </c>
      <c r="AG1" s="14" t="s">
        <v>332</v>
      </c>
      <c r="AH1" s="14" t="s">
        <v>333</v>
      </c>
      <c r="AI1" s="15" t="s">
        <v>334</v>
      </c>
      <c r="AJ1" s="15" t="s">
        <v>335</v>
      </c>
      <c r="AK1" s="16" t="s">
        <v>336</v>
      </c>
      <c r="AL1" s="16" t="s">
        <v>337</v>
      </c>
      <c r="AM1" s="17" t="s">
        <v>338</v>
      </c>
      <c r="AN1" s="17" t="s">
        <v>339</v>
      </c>
      <c r="AO1" s="17" t="s">
        <v>340</v>
      </c>
      <c r="AP1" s="18" t="s">
        <v>341</v>
      </c>
      <c r="AQ1" s="18" t="s">
        <v>342</v>
      </c>
    </row>
    <row r="2" spans="1:43" ht="72.5" x14ac:dyDescent="0.35">
      <c r="A2" t="s">
        <v>9</v>
      </c>
      <c r="B2" s="19" t="s">
        <v>301</v>
      </c>
      <c r="C2" s="19" t="s">
        <v>302</v>
      </c>
      <c r="D2" s="4" t="s">
        <v>10</v>
      </c>
      <c r="E2" s="4"/>
      <c r="F2" s="4"/>
      <c r="G2" s="4"/>
      <c r="H2" s="4"/>
      <c r="I2" s="4"/>
      <c r="J2" s="4" t="s">
        <v>343</v>
      </c>
      <c r="K2" s="4"/>
      <c r="L2" s="4">
        <v>0</v>
      </c>
      <c r="M2" s="4"/>
      <c r="N2" s="4"/>
      <c r="O2" s="4"/>
      <c r="P2" s="4" t="s">
        <v>344</v>
      </c>
      <c r="Q2" s="4"/>
      <c r="R2" s="4"/>
      <c r="S2" s="4"/>
      <c r="T2" s="4"/>
      <c r="U2" s="4"/>
      <c r="V2" s="4"/>
      <c r="W2" s="4"/>
      <c r="X2" s="4" t="s">
        <v>345</v>
      </c>
      <c r="Y2" s="4" t="s">
        <v>346</v>
      </c>
      <c r="Z2" s="4"/>
      <c r="AA2" s="4"/>
      <c r="AB2" s="4"/>
      <c r="AC2" s="4"/>
      <c r="AD2" s="4"/>
      <c r="AE2" s="4"/>
      <c r="AF2" s="4"/>
      <c r="AG2" s="4"/>
      <c r="AH2" s="4"/>
      <c r="AI2" s="4" t="s">
        <v>347</v>
      </c>
      <c r="AJ2" s="4"/>
      <c r="AK2" s="4">
        <v>0</v>
      </c>
      <c r="AL2" s="4"/>
      <c r="AM2" s="4" t="s">
        <v>348</v>
      </c>
      <c r="AN2" s="4" t="s">
        <v>349</v>
      </c>
      <c r="AO2" s="4">
        <v>0</v>
      </c>
      <c r="AP2" s="4" t="s">
        <v>350</v>
      </c>
      <c r="AQ2" s="4">
        <v>6</v>
      </c>
    </row>
    <row r="3" spans="1:43" ht="409.5" x14ac:dyDescent="0.35">
      <c r="A3" t="s">
        <v>17</v>
      </c>
      <c r="B3" s="19" t="s">
        <v>301</v>
      </c>
      <c r="C3" s="19" t="s">
        <v>302</v>
      </c>
      <c r="D3" s="4" t="s">
        <v>18</v>
      </c>
      <c r="E3" s="4" t="s">
        <v>908</v>
      </c>
      <c r="F3" s="4" t="b">
        <v>0</v>
      </c>
      <c r="G3" s="4" t="s">
        <v>352</v>
      </c>
      <c r="H3" s="4"/>
      <c r="I3" s="4"/>
      <c r="J3" s="4" t="s">
        <v>353</v>
      </c>
      <c r="K3" s="4"/>
      <c r="L3" s="4">
        <v>0</v>
      </c>
      <c r="M3" s="4" t="s">
        <v>354</v>
      </c>
      <c r="N3" s="4"/>
      <c r="O3" s="4">
        <v>1</v>
      </c>
      <c r="P3" s="4" t="s">
        <v>355</v>
      </c>
      <c r="Q3" s="4" t="s">
        <v>356</v>
      </c>
      <c r="R3" s="4"/>
      <c r="S3" s="4">
        <v>1</v>
      </c>
      <c r="T3" s="4"/>
      <c r="U3" s="4"/>
      <c r="V3" s="4"/>
      <c r="W3" s="4"/>
      <c r="X3" s="4" t="s">
        <v>357</v>
      </c>
      <c r="Y3" s="4" t="s">
        <v>358</v>
      </c>
      <c r="Z3" s="4"/>
      <c r="AA3" s="4"/>
      <c r="AB3" s="4"/>
      <c r="AC3" s="4"/>
      <c r="AD3" s="4" t="s">
        <v>359</v>
      </c>
      <c r="AE3" s="4"/>
      <c r="AF3" s="4"/>
      <c r="AG3" s="4"/>
      <c r="AH3" s="4"/>
      <c r="AI3" s="4"/>
      <c r="AJ3" s="4"/>
      <c r="AK3" s="4">
        <v>1</v>
      </c>
      <c r="AL3" s="4"/>
      <c r="AM3" s="4" t="s">
        <v>348</v>
      </c>
      <c r="AN3" s="4" t="s">
        <v>360</v>
      </c>
      <c r="AO3" s="4">
        <v>0</v>
      </c>
      <c r="AP3" s="4" t="s">
        <v>350</v>
      </c>
      <c r="AQ3" s="4">
        <v>6</v>
      </c>
    </row>
    <row r="4" spans="1:43" ht="72.5" x14ac:dyDescent="0.35">
      <c r="A4" t="s">
        <v>22</v>
      </c>
      <c r="B4" s="19" t="s">
        <v>301</v>
      </c>
      <c r="C4" s="19" t="s">
        <v>302</v>
      </c>
      <c r="D4" s="4" t="s">
        <v>23</v>
      </c>
      <c r="E4" s="4" t="b">
        <v>1</v>
      </c>
      <c r="F4" s="4" t="b">
        <v>1</v>
      </c>
      <c r="G4" s="4" t="b">
        <v>1</v>
      </c>
      <c r="H4" s="4" t="b">
        <v>1</v>
      </c>
      <c r="I4" s="4" t="b">
        <v>1</v>
      </c>
      <c r="J4" s="4" t="b">
        <v>1</v>
      </c>
      <c r="K4" s="4" t="b">
        <v>1</v>
      </c>
      <c r="L4" s="4" t="b">
        <v>1</v>
      </c>
      <c r="M4" s="4" t="b">
        <v>1</v>
      </c>
      <c r="N4" s="4" t="s">
        <v>364</v>
      </c>
      <c r="O4" s="4"/>
      <c r="P4" s="4"/>
      <c r="Q4" s="4"/>
      <c r="R4" s="4"/>
      <c r="S4" s="4">
        <v>4</v>
      </c>
      <c r="T4" s="4">
        <v>4</v>
      </c>
      <c r="U4" s="4" t="s">
        <v>365</v>
      </c>
      <c r="V4" s="4"/>
      <c r="W4" s="4" t="s">
        <v>366</v>
      </c>
      <c r="X4" s="4"/>
      <c r="Y4" s="4"/>
      <c r="Z4" s="4"/>
      <c r="AA4" s="4"/>
      <c r="AB4" s="4" t="s">
        <v>367</v>
      </c>
      <c r="AC4" s="4" t="s">
        <v>368</v>
      </c>
      <c r="AD4" s="4" t="s">
        <v>359</v>
      </c>
      <c r="AE4" s="4"/>
      <c r="AF4" s="4"/>
      <c r="AG4" s="4"/>
      <c r="AH4" s="4"/>
      <c r="AI4" s="4" t="s">
        <v>369</v>
      </c>
      <c r="AJ4" s="4"/>
      <c r="AK4" s="4">
        <v>0</v>
      </c>
      <c r="AL4" s="4"/>
      <c r="AM4" s="4" t="s">
        <v>348</v>
      </c>
      <c r="AN4" s="4" t="s">
        <v>360</v>
      </c>
      <c r="AO4" s="4">
        <v>0</v>
      </c>
      <c r="AP4" s="4" t="s">
        <v>350</v>
      </c>
      <c r="AQ4" s="4">
        <v>6</v>
      </c>
    </row>
    <row r="5" spans="1:43" ht="409.5" x14ac:dyDescent="0.35">
      <c r="A5" t="s">
        <v>28</v>
      </c>
      <c r="B5" s="19" t="s">
        <v>301</v>
      </c>
      <c r="C5" s="19" t="s">
        <v>302</v>
      </c>
      <c r="D5" s="4" t="s">
        <v>29</v>
      </c>
      <c r="E5" s="4" t="s">
        <v>235</v>
      </c>
      <c r="F5" s="4" t="s">
        <v>370</v>
      </c>
      <c r="G5" s="4" t="s">
        <v>352</v>
      </c>
      <c r="H5" s="4"/>
      <c r="I5" s="4"/>
      <c r="J5" s="4" t="s">
        <v>353</v>
      </c>
      <c r="K5" s="4"/>
      <c r="L5" s="4">
        <v>0</v>
      </c>
      <c r="M5" s="4" t="s">
        <v>354</v>
      </c>
      <c r="N5" s="4"/>
      <c r="O5" s="4">
        <v>1</v>
      </c>
      <c r="P5" s="4" t="s">
        <v>371</v>
      </c>
      <c r="Q5" s="4" t="s">
        <v>372</v>
      </c>
      <c r="R5" s="4"/>
      <c r="S5" s="4">
        <v>2</v>
      </c>
      <c r="T5" s="4"/>
      <c r="U5" s="4" t="s">
        <v>373</v>
      </c>
      <c r="V5" s="4"/>
      <c r="W5" s="4"/>
      <c r="X5" s="4" t="s">
        <v>374</v>
      </c>
      <c r="Y5" s="4"/>
      <c r="Z5" s="4"/>
      <c r="AA5" s="4"/>
      <c r="AB5" s="4"/>
      <c r="AC5" s="4"/>
      <c r="AD5" s="4"/>
      <c r="AE5" s="4"/>
      <c r="AF5" s="4"/>
      <c r="AG5" s="4"/>
      <c r="AH5" s="4"/>
      <c r="AI5" s="4"/>
      <c r="AJ5" s="4"/>
      <c r="AK5" s="4">
        <v>0</v>
      </c>
      <c r="AL5" s="4"/>
      <c r="AM5" s="4" t="s">
        <v>348</v>
      </c>
      <c r="AN5" s="4" t="s">
        <v>360</v>
      </c>
      <c r="AO5" s="4">
        <v>0</v>
      </c>
      <c r="AP5" s="4" t="s">
        <v>350</v>
      </c>
      <c r="AQ5" s="4">
        <v>6</v>
      </c>
    </row>
    <row r="6" spans="1:43" ht="409.5" x14ac:dyDescent="0.35">
      <c r="A6" t="s">
        <v>34</v>
      </c>
      <c r="B6" s="19" t="s">
        <v>301</v>
      </c>
      <c r="C6" s="19" t="s">
        <v>302</v>
      </c>
      <c r="D6" s="4" t="s">
        <v>375</v>
      </c>
      <c r="E6" s="4" t="s">
        <v>235</v>
      </c>
      <c r="F6" s="4" t="s">
        <v>376</v>
      </c>
      <c r="G6" s="4" t="s">
        <v>352</v>
      </c>
      <c r="H6" s="4" t="s">
        <v>377</v>
      </c>
      <c r="I6" s="4"/>
      <c r="J6" s="4" t="s">
        <v>378</v>
      </c>
      <c r="K6" s="4" t="s">
        <v>379</v>
      </c>
      <c r="L6" s="4">
        <v>1</v>
      </c>
      <c r="M6" s="4" t="s">
        <v>380</v>
      </c>
      <c r="N6" s="4" t="s">
        <v>381</v>
      </c>
      <c r="O6" s="4">
        <v>0</v>
      </c>
      <c r="P6" s="4" t="s">
        <v>382</v>
      </c>
      <c r="Q6" s="4" t="s">
        <v>383</v>
      </c>
      <c r="R6" s="4"/>
      <c r="S6" s="4">
        <v>3</v>
      </c>
      <c r="T6" s="4"/>
      <c r="U6" s="4" t="s">
        <v>384</v>
      </c>
      <c r="V6" s="4" t="s">
        <v>385</v>
      </c>
      <c r="W6" s="4"/>
      <c r="X6" s="4" t="s">
        <v>386</v>
      </c>
      <c r="Y6" s="4" t="s">
        <v>387</v>
      </c>
      <c r="Z6" s="4"/>
      <c r="AA6" s="4"/>
      <c r="AB6" s="4" t="s">
        <v>367</v>
      </c>
      <c r="AC6" s="4" t="s">
        <v>368</v>
      </c>
      <c r="AD6" s="4" t="s">
        <v>359</v>
      </c>
      <c r="AE6" s="4" t="s">
        <v>388</v>
      </c>
      <c r="AF6" s="4"/>
      <c r="AG6" s="4"/>
      <c r="AH6" s="4"/>
      <c r="AI6" s="4" t="s">
        <v>389</v>
      </c>
      <c r="AJ6" s="4"/>
      <c r="AK6" s="4">
        <v>0</v>
      </c>
      <c r="AL6" s="4"/>
      <c r="AM6" s="4" t="s">
        <v>348</v>
      </c>
      <c r="AN6" s="4" t="s">
        <v>360</v>
      </c>
      <c r="AO6" s="4">
        <v>0</v>
      </c>
      <c r="AP6" s="4" t="s">
        <v>350</v>
      </c>
      <c r="AQ6" s="4">
        <v>6</v>
      </c>
    </row>
    <row r="7" spans="1:43" ht="319" x14ac:dyDescent="0.35">
      <c r="A7" t="s">
        <v>40</v>
      </c>
      <c r="B7" s="19" t="s">
        <v>301</v>
      </c>
      <c r="C7" s="19" t="s">
        <v>302</v>
      </c>
      <c r="D7" s="4" t="s">
        <v>41</v>
      </c>
      <c r="E7" s="4" t="s">
        <v>390</v>
      </c>
      <c r="F7" s="4" t="s">
        <v>391</v>
      </c>
      <c r="G7" s="4" t="s">
        <v>352</v>
      </c>
      <c r="H7" s="4"/>
      <c r="I7" s="4"/>
      <c r="J7" s="4" t="s">
        <v>392</v>
      </c>
      <c r="K7" s="4" t="s">
        <v>393</v>
      </c>
      <c r="L7" s="4">
        <v>0</v>
      </c>
      <c r="M7" s="4" t="s">
        <v>394</v>
      </c>
      <c r="N7" s="4" t="s">
        <v>364</v>
      </c>
      <c r="O7" s="4">
        <v>0</v>
      </c>
      <c r="P7" s="4" t="s">
        <v>395</v>
      </c>
      <c r="Q7" s="4" t="s">
        <v>396</v>
      </c>
      <c r="R7" s="4"/>
      <c r="S7" s="4">
        <v>0</v>
      </c>
      <c r="T7" s="4"/>
      <c r="U7" s="4" t="s">
        <v>365</v>
      </c>
      <c r="V7" s="4"/>
      <c r="W7" s="4" t="s">
        <v>397</v>
      </c>
      <c r="X7" s="4"/>
      <c r="Y7" s="4" t="s">
        <v>398</v>
      </c>
      <c r="Z7" s="4"/>
      <c r="AA7" s="4"/>
      <c r="AB7" s="4"/>
      <c r="AC7" s="4"/>
      <c r="AD7" s="4" t="s">
        <v>359</v>
      </c>
      <c r="AE7" s="4"/>
      <c r="AF7" s="4"/>
      <c r="AG7" s="4"/>
      <c r="AH7" s="4"/>
      <c r="AI7" s="4" t="s">
        <v>399</v>
      </c>
      <c r="AJ7" s="4">
        <v>1</v>
      </c>
      <c r="AK7" s="4">
        <v>0</v>
      </c>
      <c r="AL7" s="4"/>
      <c r="AM7" s="4" t="s">
        <v>348</v>
      </c>
      <c r="AN7" s="4" t="s">
        <v>360</v>
      </c>
      <c r="AO7" s="4">
        <v>0</v>
      </c>
      <c r="AP7" s="4" t="s">
        <v>350</v>
      </c>
      <c r="AQ7" s="4">
        <v>4</v>
      </c>
    </row>
    <row r="8" spans="1:43" ht="409.5" x14ac:dyDescent="0.35">
      <c r="A8" t="s">
        <v>46</v>
      </c>
      <c r="B8" s="19" t="s">
        <v>301</v>
      </c>
      <c r="C8" s="19" t="s">
        <v>302</v>
      </c>
      <c r="D8" s="4" t="s">
        <v>47</v>
      </c>
      <c r="E8" s="4" t="s">
        <v>235</v>
      </c>
      <c r="F8" s="4" t="s">
        <v>400</v>
      </c>
      <c r="G8" s="4" t="s">
        <v>352</v>
      </c>
      <c r="H8" s="4" t="s">
        <v>401</v>
      </c>
      <c r="I8" s="4"/>
      <c r="J8" s="4"/>
      <c r="K8" s="4"/>
      <c r="L8" s="4">
        <v>0</v>
      </c>
      <c r="M8" s="4" t="s">
        <v>380</v>
      </c>
      <c r="N8" s="4" t="s">
        <v>364</v>
      </c>
      <c r="O8" s="4">
        <v>0</v>
      </c>
      <c r="P8" s="4" t="s">
        <v>402</v>
      </c>
      <c r="Q8" s="4" t="s">
        <v>403</v>
      </c>
      <c r="R8" s="4"/>
      <c r="S8" s="4">
        <v>0</v>
      </c>
      <c r="T8" s="4"/>
      <c r="U8" s="4"/>
      <c r="V8" s="4"/>
      <c r="W8" s="4"/>
      <c r="X8" s="4" t="s">
        <v>404</v>
      </c>
      <c r="Y8" s="4" t="s">
        <v>405</v>
      </c>
      <c r="Z8" s="4"/>
      <c r="AA8" s="4" t="s">
        <v>406</v>
      </c>
      <c r="AB8" s="4"/>
      <c r="AC8" s="4"/>
      <c r="AD8" s="4" t="s">
        <v>359</v>
      </c>
      <c r="AE8" s="4"/>
      <c r="AF8" s="4"/>
      <c r="AG8" s="4"/>
      <c r="AH8" s="4"/>
      <c r="AI8" s="4"/>
      <c r="AJ8" s="4"/>
      <c r="AK8" s="4">
        <v>0</v>
      </c>
      <c r="AL8" s="4"/>
      <c r="AM8" s="4" t="s">
        <v>348</v>
      </c>
      <c r="AN8" s="4" t="s">
        <v>360</v>
      </c>
      <c r="AO8" s="4">
        <v>0</v>
      </c>
      <c r="AP8" s="4" t="s">
        <v>350</v>
      </c>
      <c r="AQ8" s="4">
        <v>5</v>
      </c>
    </row>
    <row r="9" spans="1:43" ht="174" x14ac:dyDescent="0.35">
      <c r="A9" t="s">
        <v>52</v>
      </c>
      <c r="B9" s="19" t="s">
        <v>301</v>
      </c>
      <c r="C9" s="19" t="s">
        <v>302</v>
      </c>
      <c r="D9" s="4" t="s">
        <v>53</v>
      </c>
      <c r="E9" s="4"/>
      <c r="F9" s="4"/>
      <c r="G9" s="4" t="s">
        <v>352</v>
      </c>
      <c r="H9" s="4"/>
      <c r="I9" s="4"/>
      <c r="J9" s="4" t="s">
        <v>353</v>
      </c>
      <c r="K9" s="4" t="s">
        <v>407</v>
      </c>
      <c r="L9" s="4">
        <v>0</v>
      </c>
      <c r="M9" s="4" t="s">
        <v>354</v>
      </c>
      <c r="N9" s="4" t="s">
        <v>364</v>
      </c>
      <c r="O9" s="4">
        <v>0</v>
      </c>
      <c r="P9" s="4" t="s">
        <v>408</v>
      </c>
      <c r="Q9" s="4" t="s">
        <v>409</v>
      </c>
      <c r="R9" s="4"/>
      <c r="S9" s="4">
        <v>0</v>
      </c>
      <c r="T9" s="4"/>
      <c r="U9" s="4" t="s">
        <v>365</v>
      </c>
      <c r="V9" s="4" t="s">
        <v>410</v>
      </c>
      <c r="W9" s="4" t="s">
        <v>411</v>
      </c>
      <c r="X9" s="4" t="s">
        <v>412</v>
      </c>
      <c r="Y9" s="4"/>
      <c r="Z9" s="4"/>
      <c r="AA9" s="4" t="s">
        <v>412</v>
      </c>
      <c r="AB9" s="4"/>
      <c r="AC9" s="4"/>
      <c r="AD9" s="4" t="s">
        <v>359</v>
      </c>
      <c r="AE9" s="4"/>
      <c r="AF9" s="4"/>
      <c r="AG9" s="4"/>
      <c r="AH9" s="4"/>
      <c r="AI9" s="4"/>
      <c r="AJ9" s="4"/>
      <c r="AK9" s="4">
        <v>0</v>
      </c>
      <c r="AL9" s="4"/>
      <c r="AM9" s="4" t="s">
        <v>348</v>
      </c>
      <c r="AN9" s="4" t="s">
        <v>349</v>
      </c>
      <c r="AO9" s="4">
        <v>0</v>
      </c>
      <c r="AP9" s="4" t="s">
        <v>350</v>
      </c>
      <c r="AQ9" s="4">
        <v>5</v>
      </c>
    </row>
    <row r="10" spans="1:43" ht="58" x14ac:dyDescent="0.35">
      <c r="A10" t="s">
        <v>58</v>
      </c>
      <c r="B10" s="19" t="s">
        <v>301</v>
      </c>
      <c r="C10" s="19" t="s">
        <v>302</v>
      </c>
      <c r="D10" s="4" t="s">
        <v>59</v>
      </c>
      <c r="E10" s="4" t="s">
        <v>235</v>
      </c>
      <c r="F10" s="4" t="s">
        <v>413</v>
      </c>
      <c r="G10" s="4" t="s">
        <v>352</v>
      </c>
      <c r="H10" s="4"/>
      <c r="I10" s="4"/>
      <c r="J10" s="4" t="s">
        <v>414</v>
      </c>
      <c r="K10" s="4"/>
      <c r="L10" s="4">
        <v>0</v>
      </c>
      <c r="M10" s="4" t="s">
        <v>354</v>
      </c>
      <c r="N10" s="4" t="s">
        <v>364</v>
      </c>
      <c r="O10" s="4">
        <v>0</v>
      </c>
      <c r="P10" s="4" t="s">
        <v>415</v>
      </c>
      <c r="Q10" s="4"/>
      <c r="R10" s="4" t="s">
        <v>416</v>
      </c>
      <c r="S10" s="4">
        <v>0</v>
      </c>
      <c r="T10" s="4"/>
      <c r="U10" s="4" t="s">
        <v>373</v>
      </c>
      <c r="V10" s="4"/>
      <c r="W10" s="4"/>
      <c r="X10" s="4"/>
      <c r="Y10" s="4"/>
      <c r="Z10" s="4"/>
      <c r="AA10" s="4"/>
      <c r="AB10" s="4"/>
      <c r="AC10" s="4"/>
      <c r="AD10" s="4" t="s">
        <v>359</v>
      </c>
      <c r="AE10" s="4"/>
      <c r="AF10" s="4"/>
      <c r="AG10" s="4"/>
      <c r="AH10" s="4"/>
      <c r="AI10" s="4"/>
      <c r="AJ10" s="4"/>
      <c r="AK10" s="4">
        <v>1</v>
      </c>
      <c r="AL10" s="4" t="s">
        <v>417</v>
      </c>
      <c r="AM10" s="4" t="s">
        <v>348</v>
      </c>
      <c r="AN10" s="4" t="s">
        <v>349</v>
      </c>
      <c r="AO10" s="4">
        <v>0</v>
      </c>
      <c r="AP10" s="4" t="s">
        <v>350</v>
      </c>
      <c r="AQ10" s="4">
        <v>5</v>
      </c>
    </row>
    <row r="11" spans="1:43" ht="217.5" x14ac:dyDescent="0.35">
      <c r="A11" t="s">
        <v>64</v>
      </c>
      <c r="B11" s="19" t="s">
        <v>301</v>
      </c>
      <c r="C11" s="19" t="s">
        <v>302</v>
      </c>
      <c r="D11" s="4" t="s">
        <v>65</v>
      </c>
      <c r="E11" s="4" t="s">
        <v>235</v>
      </c>
      <c r="F11" s="4" t="s">
        <v>418</v>
      </c>
      <c r="G11" s="4" t="s">
        <v>352</v>
      </c>
      <c r="H11" s="4" t="s">
        <v>419</v>
      </c>
      <c r="I11" s="4">
        <v>1</v>
      </c>
      <c r="J11" s="4" t="s">
        <v>378</v>
      </c>
      <c r="K11" s="4" t="s">
        <v>420</v>
      </c>
      <c r="L11" s="4">
        <v>0</v>
      </c>
      <c r="M11" s="4" t="s">
        <v>380</v>
      </c>
      <c r="N11" s="4" t="s">
        <v>364</v>
      </c>
      <c r="O11" s="4">
        <v>0</v>
      </c>
      <c r="P11" s="4" t="s">
        <v>421</v>
      </c>
      <c r="Q11" s="4" t="s">
        <v>422</v>
      </c>
      <c r="R11" s="4" t="s">
        <v>423</v>
      </c>
      <c r="S11" s="4">
        <v>1</v>
      </c>
      <c r="T11" s="4"/>
      <c r="U11" s="4" t="s">
        <v>373</v>
      </c>
      <c r="V11" s="4"/>
      <c r="W11" s="4"/>
      <c r="X11" s="4" t="s">
        <v>424</v>
      </c>
      <c r="Y11" s="4" t="s">
        <v>346</v>
      </c>
      <c r="Z11" s="4"/>
      <c r="AA11" s="4" t="s">
        <v>425</v>
      </c>
      <c r="AB11" s="4"/>
      <c r="AC11" s="4"/>
      <c r="AD11" s="4" t="s">
        <v>359</v>
      </c>
      <c r="AE11" s="4"/>
      <c r="AF11" s="4"/>
      <c r="AG11" s="4"/>
      <c r="AH11" s="4"/>
      <c r="AI11" s="4" t="s">
        <v>426</v>
      </c>
      <c r="AJ11" s="4"/>
      <c r="AK11" s="4">
        <v>1</v>
      </c>
      <c r="AL11" s="4" t="s">
        <v>427</v>
      </c>
      <c r="AM11" s="4" t="s">
        <v>348</v>
      </c>
      <c r="AN11" s="4" t="s">
        <v>360</v>
      </c>
      <c r="AO11" s="4">
        <v>0</v>
      </c>
      <c r="AP11" s="4" t="s">
        <v>350</v>
      </c>
      <c r="AQ11" s="4">
        <v>6</v>
      </c>
    </row>
    <row r="12" spans="1:43" ht="409.5" x14ac:dyDescent="0.35">
      <c r="A12" t="s">
        <v>70</v>
      </c>
      <c r="B12" s="19" t="s">
        <v>301</v>
      </c>
      <c r="C12" s="19" t="s">
        <v>302</v>
      </c>
      <c r="D12" s="4" t="s">
        <v>71</v>
      </c>
      <c r="E12" s="4" t="s">
        <v>235</v>
      </c>
      <c r="F12" s="4" t="s">
        <v>428</v>
      </c>
      <c r="G12" s="4" t="s">
        <v>352</v>
      </c>
      <c r="H12" s="4" t="s">
        <v>429</v>
      </c>
      <c r="I12" s="4"/>
      <c r="J12" s="4" t="s">
        <v>430</v>
      </c>
      <c r="K12" s="4"/>
      <c r="L12" s="4">
        <v>1</v>
      </c>
      <c r="M12" s="4" t="s">
        <v>431</v>
      </c>
      <c r="N12" s="4" t="s">
        <v>364</v>
      </c>
      <c r="O12" s="4">
        <v>0</v>
      </c>
      <c r="P12" s="4" t="s">
        <v>432</v>
      </c>
      <c r="Q12" s="4" t="s">
        <v>433</v>
      </c>
      <c r="R12" s="4"/>
      <c r="S12" s="4">
        <v>1</v>
      </c>
      <c r="T12" s="4"/>
      <c r="U12" s="4" t="s">
        <v>373</v>
      </c>
      <c r="V12" s="4"/>
      <c r="W12" s="4"/>
      <c r="X12" s="4" t="s">
        <v>434</v>
      </c>
      <c r="Y12" s="4"/>
      <c r="Z12" s="4"/>
      <c r="AA12" s="4"/>
      <c r="AB12" s="4"/>
      <c r="AC12" s="4"/>
      <c r="AD12" s="4" t="s">
        <v>359</v>
      </c>
      <c r="AE12" s="4" t="s">
        <v>435</v>
      </c>
      <c r="AF12" s="4"/>
      <c r="AG12" s="4"/>
      <c r="AH12" s="4"/>
      <c r="AI12" s="4" t="s">
        <v>436</v>
      </c>
      <c r="AJ12" s="4"/>
      <c r="AK12" s="4">
        <v>0</v>
      </c>
      <c r="AL12" s="4"/>
      <c r="AM12" s="4" t="s">
        <v>348</v>
      </c>
      <c r="AN12" s="4" t="s">
        <v>360</v>
      </c>
      <c r="AO12" s="4">
        <v>0</v>
      </c>
      <c r="AP12" s="4" t="s">
        <v>350</v>
      </c>
      <c r="AQ12" s="4">
        <v>6</v>
      </c>
    </row>
    <row r="13" spans="1:43" ht="409.5" x14ac:dyDescent="0.35">
      <c r="A13" t="s">
        <v>76</v>
      </c>
      <c r="B13" s="19" t="s">
        <v>301</v>
      </c>
      <c r="C13" s="19" t="s">
        <v>302</v>
      </c>
      <c r="D13" s="4" t="s">
        <v>77</v>
      </c>
      <c r="E13" s="4" t="s">
        <v>361</v>
      </c>
      <c r="F13" s="4" t="s">
        <v>437</v>
      </c>
      <c r="G13" s="4" t="s">
        <v>362</v>
      </c>
      <c r="H13" s="4"/>
      <c r="I13" s="4"/>
      <c r="J13" s="4" t="s">
        <v>438</v>
      </c>
      <c r="K13" s="4"/>
      <c r="L13" s="4">
        <v>1</v>
      </c>
      <c r="M13" s="4" t="s">
        <v>439</v>
      </c>
      <c r="N13" s="4" t="s">
        <v>364</v>
      </c>
      <c r="O13" s="4">
        <v>0</v>
      </c>
      <c r="P13" s="4" t="s">
        <v>440</v>
      </c>
      <c r="Q13" s="4" t="s">
        <v>441</v>
      </c>
      <c r="R13" s="4"/>
      <c r="S13" s="4">
        <v>1</v>
      </c>
      <c r="T13" s="4"/>
      <c r="U13" s="4" t="s">
        <v>365</v>
      </c>
      <c r="V13" s="4" t="s">
        <v>442</v>
      </c>
      <c r="W13" s="4"/>
      <c r="X13" s="4" t="s">
        <v>443</v>
      </c>
      <c r="Y13" s="4"/>
      <c r="Z13" s="4"/>
      <c r="AA13" s="4" t="s">
        <v>424</v>
      </c>
      <c r="AB13" s="4" t="s">
        <v>367</v>
      </c>
      <c r="AC13" s="4" t="s">
        <v>368</v>
      </c>
      <c r="AD13" s="4" t="s">
        <v>359</v>
      </c>
      <c r="AE13" s="4"/>
      <c r="AF13" s="4"/>
      <c r="AG13" s="4"/>
      <c r="AH13" s="4"/>
      <c r="AI13" s="4" t="s">
        <v>444</v>
      </c>
      <c r="AJ13" s="4">
        <v>1</v>
      </c>
      <c r="AK13" s="4">
        <v>0</v>
      </c>
      <c r="AL13" s="4"/>
      <c r="AM13" s="4" t="s">
        <v>348</v>
      </c>
      <c r="AN13" s="4" t="s">
        <v>360</v>
      </c>
      <c r="AO13" s="4">
        <v>0</v>
      </c>
      <c r="AP13" s="4" t="s">
        <v>350</v>
      </c>
      <c r="AQ13" s="4">
        <v>6</v>
      </c>
    </row>
    <row r="14" spans="1:43" ht="246.5" x14ac:dyDescent="0.35">
      <c r="A14" t="s">
        <v>81</v>
      </c>
      <c r="B14" s="19" t="s">
        <v>301</v>
      </c>
      <c r="C14" s="19" t="s">
        <v>302</v>
      </c>
      <c r="D14" s="4" t="s">
        <v>445</v>
      </c>
      <c r="E14" s="4"/>
      <c r="F14" s="4" t="s">
        <v>446</v>
      </c>
      <c r="G14" s="4" t="s">
        <v>352</v>
      </c>
      <c r="H14" s="4"/>
      <c r="I14" s="4"/>
      <c r="J14" s="4"/>
      <c r="K14" s="4"/>
      <c r="L14" s="4">
        <v>0</v>
      </c>
      <c r="M14" s="4" t="s">
        <v>447</v>
      </c>
      <c r="N14" s="4" t="s">
        <v>364</v>
      </c>
      <c r="O14" s="4">
        <v>0</v>
      </c>
      <c r="P14" s="4" t="s">
        <v>448</v>
      </c>
      <c r="Q14" s="4" t="s">
        <v>449</v>
      </c>
      <c r="R14" s="4"/>
      <c r="S14" s="4">
        <v>0</v>
      </c>
      <c r="T14" s="4"/>
      <c r="U14" s="4"/>
      <c r="V14" s="4"/>
      <c r="W14" s="4"/>
      <c r="X14" s="4"/>
      <c r="Y14" s="4"/>
      <c r="Z14" s="4"/>
      <c r="AA14" s="4"/>
      <c r="AB14" s="4"/>
      <c r="AC14" s="4"/>
      <c r="AD14" s="4" t="s">
        <v>359</v>
      </c>
      <c r="AE14" s="4" t="s">
        <v>435</v>
      </c>
      <c r="AF14" s="4"/>
      <c r="AG14" s="4"/>
      <c r="AH14" s="4"/>
      <c r="AI14" s="4"/>
      <c r="AJ14" s="4"/>
      <c r="AK14" s="4">
        <v>0</v>
      </c>
      <c r="AL14" s="4"/>
      <c r="AM14" s="4" t="s">
        <v>348</v>
      </c>
      <c r="AN14" s="4" t="s">
        <v>360</v>
      </c>
      <c r="AO14" s="4">
        <v>0</v>
      </c>
      <c r="AP14" s="4" t="s">
        <v>350</v>
      </c>
      <c r="AQ14" s="4">
        <v>5</v>
      </c>
    </row>
    <row r="15" spans="1:43" ht="409.5" x14ac:dyDescent="0.35">
      <c r="A15" t="s">
        <v>87</v>
      </c>
      <c r="B15" s="19" t="s">
        <v>301</v>
      </c>
      <c r="C15" s="19" t="s">
        <v>302</v>
      </c>
      <c r="D15" s="4" t="s">
        <v>88</v>
      </c>
      <c r="E15" s="4" t="s">
        <v>235</v>
      </c>
      <c r="F15" s="4" t="s">
        <v>450</v>
      </c>
      <c r="G15" s="4" t="s">
        <v>352</v>
      </c>
      <c r="H15" s="4" t="s">
        <v>451</v>
      </c>
      <c r="I15" s="4">
        <v>1</v>
      </c>
      <c r="J15" s="4" t="s">
        <v>430</v>
      </c>
      <c r="K15" s="4"/>
      <c r="L15" s="4">
        <v>0</v>
      </c>
      <c r="M15" s="4" t="s">
        <v>439</v>
      </c>
      <c r="N15" s="4" t="s">
        <v>381</v>
      </c>
      <c r="O15" s="4">
        <v>0</v>
      </c>
      <c r="P15" s="4" t="s">
        <v>452</v>
      </c>
      <c r="Q15" s="4" t="s">
        <v>453</v>
      </c>
      <c r="R15" s="4"/>
      <c r="S15" s="4">
        <v>5</v>
      </c>
      <c r="T15" s="4"/>
      <c r="U15" s="4"/>
      <c r="V15" s="4"/>
      <c r="W15" s="4"/>
      <c r="X15" s="4" t="s">
        <v>454</v>
      </c>
      <c r="Y15" s="4"/>
      <c r="Z15" s="4"/>
      <c r="AA15" s="4"/>
      <c r="AB15" s="4"/>
      <c r="AC15" s="4"/>
      <c r="AD15" s="4" t="s">
        <v>359</v>
      </c>
      <c r="AE15" s="4"/>
      <c r="AF15" s="4"/>
      <c r="AG15" s="4"/>
      <c r="AH15" s="4"/>
      <c r="AI15" s="4" t="s">
        <v>455</v>
      </c>
      <c r="AJ15" s="4"/>
      <c r="AK15" s="4">
        <v>0</v>
      </c>
      <c r="AL15" s="4"/>
      <c r="AM15" s="4" t="s">
        <v>348</v>
      </c>
      <c r="AN15" s="4" t="s">
        <v>360</v>
      </c>
      <c r="AO15" s="4">
        <v>0</v>
      </c>
      <c r="AP15" s="4" t="s">
        <v>350</v>
      </c>
      <c r="AQ15" s="4">
        <v>6</v>
      </c>
    </row>
    <row r="16" spans="1:43" ht="409.5" x14ac:dyDescent="0.35">
      <c r="A16" t="s">
        <v>93</v>
      </c>
      <c r="B16" s="19" t="s">
        <v>301</v>
      </c>
      <c r="C16" s="19" t="s">
        <v>302</v>
      </c>
      <c r="D16" s="4" t="s">
        <v>94</v>
      </c>
      <c r="E16" s="4" t="s">
        <v>235</v>
      </c>
      <c r="F16" s="4" t="s">
        <v>456</v>
      </c>
      <c r="G16" s="4" t="s">
        <v>352</v>
      </c>
      <c r="H16" s="4" t="s">
        <v>457</v>
      </c>
      <c r="I16" s="4"/>
      <c r="J16" s="4"/>
      <c r="K16" s="4"/>
      <c r="L16" s="4">
        <v>0</v>
      </c>
      <c r="M16" s="4" t="s">
        <v>431</v>
      </c>
      <c r="N16" s="4" t="s">
        <v>381</v>
      </c>
      <c r="O16" s="4">
        <v>0</v>
      </c>
      <c r="P16" s="4" t="s">
        <v>458</v>
      </c>
      <c r="Q16" s="4" t="s">
        <v>459</v>
      </c>
      <c r="R16" s="4"/>
      <c r="S16" s="4">
        <v>3</v>
      </c>
      <c r="T16" s="4"/>
      <c r="U16" s="4" t="s">
        <v>384</v>
      </c>
      <c r="V16" s="4"/>
      <c r="W16" s="4" t="s">
        <v>460</v>
      </c>
      <c r="X16" s="4" t="s">
        <v>461</v>
      </c>
      <c r="Y16" s="4" t="s">
        <v>462</v>
      </c>
      <c r="Z16" s="4"/>
      <c r="AA16" s="4"/>
      <c r="AB16" s="4"/>
      <c r="AC16" s="4"/>
      <c r="AD16" s="4" t="s">
        <v>359</v>
      </c>
      <c r="AE16" s="4"/>
      <c r="AF16" s="4"/>
      <c r="AG16" s="4"/>
      <c r="AH16" s="4"/>
      <c r="AI16" s="4"/>
      <c r="AJ16" s="4"/>
      <c r="AK16" s="4">
        <v>0</v>
      </c>
      <c r="AL16" s="4"/>
      <c r="AM16" s="4" t="s">
        <v>348</v>
      </c>
      <c r="AN16" s="4" t="s">
        <v>360</v>
      </c>
      <c r="AO16" s="4">
        <v>0</v>
      </c>
      <c r="AP16" s="4" t="s">
        <v>350</v>
      </c>
      <c r="AQ16" s="4">
        <v>5</v>
      </c>
    </row>
    <row r="17" spans="1:43" ht="391.5" x14ac:dyDescent="0.35">
      <c r="A17" t="s">
        <v>99</v>
      </c>
      <c r="B17" s="19" t="s">
        <v>301</v>
      </c>
      <c r="C17" s="19" t="s">
        <v>302</v>
      </c>
      <c r="D17" s="4" t="s">
        <v>100</v>
      </c>
      <c r="E17" s="4"/>
      <c r="F17" s="4"/>
      <c r="G17" s="4" t="s">
        <v>352</v>
      </c>
      <c r="H17" s="4"/>
      <c r="I17" s="4"/>
      <c r="J17" s="4" t="s">
        <v>343</v>
      </c>
      <c r="K17" s="4"/>
      <c r="L17" s="4">
        <v>0</v>
      </c>
      <c r="M17" s="4" t="s">
        <v>380</v>
      </c>
      <c r="N17" s="4" t="s">
        <v>364</v>
      </c>
      <c r="O17" s="4">
        <v>0</v>
      </c>
      <c r="P17" s="4" t="s">
        <v>463</v>
      </c>
      <c r="Q17" s="4" t="s">
        <v>464</v>
      </c>
      <c r="R17" s="4"/>
      <c r="S17" s="4">
        <v>0</v>
      </c>
      <c r="T17" s="4"/>
      <c r="U17" s="4" t="s">
        <v>373</v>
      </c>
      <c r="V17" s="4"/>
      <c r="W17" s="4"/>
      <c r="X17" s="4"/>
      <c r="Y17" s="4" t="s">
        <v>465</v>
      </c>
      <c r="Z17" s="4"/>
      <c r="AA17" s="4"/>
      <c r="AB17" s="4"/>
      <c r="AC17" s="4"/>
      <c r="AD17" s="4" t="s">
        <v>359</v>
      </c>
      <c r="AE17" s="4"/>
      <c r="AF17" s="4"/>
      <c r="AG17" s="4"/>
      <c r="AH17" s="4"/>
      <c r="AI17" s="4" t="s">
        <v>466</v>
      </c>
      <c r="AJ17" s="4"/>
      <c r="AK17" s="4">
        <v>0</v>
      </c>
      <c r="AL17" s="4"/>
      <c r="AM17" s="4" t="s">
        <v>348</v>
      </c>
      <c r="AN17" s="4" t="s">
        <v>360</v>
      </c>
      <c r="AO17" s="4">
        <v>1</v>
      </c>
      <c r="AP17" s="4" t="s">
        <v>350</v>
      </c>
      <c r="AQ17" s="4">
        <v>4</v>
      </c>
    </row>
    <row r="18" spans="1:43" ht="348" x14ac:dyDescent="0.35">
      <c r="A18" t="s">
        <v>104</v>
      </c>
      <c r="B18" s="19" t="s">
        <v>301</v>
      </c>
      <c r="C18" s="19" t="s">
        <v>302</v>
      </c>
      <c r="D18" s="4" t="s">
        <v>105</v>
      </c>
      <c r="E18" s="4" t="s">
        <v>351</v>
      </c>
      <c r="F18" s="4" t="s">
        <v>351</v>
      </c>
      <c r="G18" s="4" t="s">
        <v>362</v>
      </c>
      <c r="H18" s="4"/>
      <c r="I18" s="4"/>
      <c r="J18" s="4" t="s">
        <v>378</v>
      </c>
      <c r="K18" s="4"/>
      <c r="L18" s="4">
        <v>0</v>
      </c>
      <c r="M18" s="4" t="s">
        <v>380</v>
      </c>
      <c r="N18" s="4" t="s">
        <v>364</v>
      </c>
      <c r="O18" s="4">
        <v>0</v>
      </c>
      <c r="P18" s="4" t="s">
        <v>467</v>
      </c>
      <c r="Q18" s="4" t="s">
        <v>468</v>
      </c>
      <c r="R18" s="4"/>
      <c r="S18" s="4">
        <v>0</v>
      </c>
      <c r="T18" s="4">
        <v>2</v>
      </c>
      <c r="U18" s="4" t="s">
        <v>365</v>
      </c>
      <c r="V18" s="4"/>
      <c r="W18" s="4"/>
      <c r="X18" s="4"/>
      <c r="Y18" s="4" t="s">
        <v>469</v>
      </c>
      <c r="Z18" s="4"/>
      <c r="AA18" s="4"/>
      <c r="AB18" s="4"/>
      <c r="AC18" s="4"/>
      <c r="AD18" s="4" t="s">
        <v>359</v>
      </c>
      <c r="AE18" s="4"/>
      <c r="AF18" s="4"/>
      <c r="AG18" s="4"/>
      <c r="AH18" s="4"/>
      <c r="AI18" s="4"/>
      <c r="AJ18" s="4"/>
      <c r="AK18" s="4">
        <v>0</v>
      </c>
      <c r="AL18" s="4"/>
      <c r="AM18" s="4" t="s">
        <v>348</v>
      </c>
      <c r="AN18" s="4" t="s">
        <v>360</v>
      </c>
      <c r="AO18" s="4">
        <v>0</v>
      </c>
      <c r="AP18" s="4" t="s">
        <v>350</v>
      </c>
      <c r="AQ18" s="4">
        <v>5</v>
      </c>
    </row>
    <row r="19" spans="1:43" ht="409.5" x14ac:dyDescent="0.35">
      <c r="A19" t="s">
        <v>109</v>
      </c>
      <c r="B19" s="19" t="s">
        <v>301</v>
      </c>
      <c r="C19" s="19" t="s">
        <v>302</v>
      </c>
      <c r="D19" s="4" t="s">
        <v>110</v>
      </c>
      <c r="E19" s="4" t="s">
        <v>235</v>
      </c>
      <c r="F19" s="4" t="s">
        <v>376</v>
      </c>
      <c r="G19" s="4" t="s">
        <v>362</v>
      </c>
      <c r="H19" s="4"/>
      <c r="I19" s="4">
        <v>0</v>
      </c>
      <c r="J19" s="4"/>
      <c r="K19" s="4"/>
      <c r="L19" s="4">
        <v>0</v>
      </c>
      <c r="M19" s="4" t="s">
        <v>439</v>
      </c>
      <c r="N19" s="4" t="s">
        <v>364</v>
      </c>
      <c r="O19" s="4">
        <v>0</v>
      </c>
      <c r="P19" s="4" t="s">
        <v>470</v>
      </c>
      <c r="Q19" s="4" t="s">
        <v>471</v>
      </c>
      <c r="R19" s="4"/>
      <c r="S19" s="4">
        <v>2</v>
      </c>
      <c r="T19" s="4">
        <v>2</v>
      </c>
      <c r="U19" s="4" t="s">
        <v>365</v>
      </c>
      <c r="V19" s="4" t="s">
        <v>472</v>
      </c>
      <c r="W19" s="4"/>
      <c r="X19" s="4"/>
      <c r="Y19" s="4" t="s">
        <v>473</v>
      </c>
      <c r="Z19" s="4"/>
      <c r="AA19" s="4"/>
      <c r="AB19" s="4"/>
      <c r="AC19" s="4"/>
      <c r="AD19" s="4" t="s">
        <v>359</v>
      </c>
      <c r="AE19" s="4"/>
      <c r="AF19" s="4"/>
      <c r="AG19" s="4"/>
      <c r="AH19" s="4"/>
      <c r="AI19" s="4" t="s">
        <v>474</v>
      </c>
      <c r="AJ19" s="4"/>
      <c r="AK19" s="4">
        <v>0</v>
      </c>
      <c r="AL19" s="4"/>
      <c r="AM19" s="4" t="s">
        <v>348</v>
      </c>
      <c r="AN19" s="4" t="s">
        <v>360</v>
      </c>
      <c r="AO19" s="4">
        <v>0</v>
      </c>
      <c r="AP19" s="4" t="s">
        <v>350</v>
      </c>
      <c r="AQ19" s="4">
        <v>6</v>
      </c>
    </row>
    <row r="20" spans="1:43" ht="409.5" x14ac:dyDescent="0.35">
      <c r="A20" t="s">
        <v>114</v>
      </c>
      <c r="B20" s="19" t="s">
        <v>301</v>
      </c>
      <c r="C20" s="19" t="s">
        <v>302</v>
      </c>
      <c r="D20" s="4" t="s">
        <v>475</v>
      </c>
      <c r="E20" s="4"/>
      <c r="F20" s="4"/>
      <c r="G20" s="4"/>
      <c r="H20" s="4"/>
      <c r="I20" s="4"/>
      <c r="J20" s="4"/>
      <c r="K20" s="4"/>
      <c r="L20" s="4">
        <v>0</v>
      </c>
      <c r="M20" s="4" t="s">
        <v>354</v>
      </c>
      <c r="N20" s="4" t="s">
        <v>476</v>
      </c>
      <c r="O20" s="4">
        <v>1</v>
      </c>
      <c r="P20" s="4" t="s">
        <v>477</v>
      </c>
      <c r="Q20" s="4" t="s">
        <v>478</v>
      </c>
      <c r="R20" s="4" t="s">
        <v>479</v>
      </c>
      <c r="S20" s="4">
        <v>10</v>
      </c>
      <c r="T20" s="4"/>
      <c r="U20" s="4" t="s">
        <v>365</v>
      </c>
      <c r="V20" s="4" t="s">
        <v>480</v>
      </c>
      <c r="W20" s="4"/>
      <c r="X20" s="4"/>
      <c r="Y20" s="4" t="s">
        <v>481</v>
      </c>
      <c r="Z20" s="4"/>
      <c r="AA20" s="4"/>
      <c r="AB20" s="4"/>
      <c r="AC20" s="4"/>
      <c r="AD20" s="4"/>
      <c r="AE20" s="4"/>
      <c r="AF20" s="4"/>
      <c r="AG20" s="4"/>
      <c r="AH20" s="4"/>
      <c r="AI20" s="4" t="s">
        <v>482</v>
      </c>
      <c r="AJ20" s="4"/>
      <c r="AK20" s="4">
        <v>0</v>
      </c>
      <c r="AL20" s="4"/>
      <c r="AM20" s="4" t="s">
        <v>348</v>
      </c>
      <c r="AN20" s="4" t="s">
        <v>360</v>
      </c>
      <c r="AO20" s="4">
        <v>0</v>
      </c>
      <c r="AP20" s="4" t="s">
        <v>350</v>
      </c>
      <c r="AQ20" s="4">
        <v>6</v>
      </c>
    </row>
    <row r="21" spans="1:43" ht="409.5" x14ac:dyDescent="0.35">
      <c r="A21" t="s">
        <v>122</v>
      </c>
      <c r="B21" s="19" t="s">
        <v>301</v>
      </c>
      <c r="C21" s="19" t="s">
        <v>302</v>
      </c>
      <c r="D21" s="4" t="s">
        <v>123</v>
      </c>
      <c r="E21" s="4" t="s">
        <v>235</v>
      </c>
      <c r="F21" s="4" t="s">
        <v>483</v>
      </c>
      <c r="G21" s="4" t="s">
        <v>352</v>
      </c>
      <c r="H21" s="4"/>
      <c r="I21" s="4"/>
      <c r="J21" s="4" t="s">
        <v>484</v>
      </c>
      <c r="K21" s="4" t="s">
        <v>485</v>
      </c>
      <c r="L21" s="4">
        <v>0</v>
      </c>
      <c r="M21" s="4" t="s">
        <v>486</v>
      </c>
      <c r="N21" s="4" t="s">
        <v>476</v>
      </c>
      <c r="O21" s="4">
        <v>0</v>
      </c>
      <c r="P21" s="4" t="s">
        <v>487</v>
      </c>
      <c r="Q21" s="4" t="s">
        <v>488</v>
      </c>
      <c r="R21" s="4" t="s">
        <v>489</v>
      </c>
      <c r="S21" s="4">
        <v>7</v>
      </c>
      <c r="T21" s="4"/>
      <c r="U21" s="4" t="s">
        <v>365</v>
      </c>
      <c r="V21" s="4" t="s">
        <v>490</v>
      </c>
      <c r="W21" s="4"/>
      <c r="X21" s="4" t="s">
        <v>491</v>
      </c>
      <c r="Y21" s="4" t="s">
        <v>492</v>
      </c>
      <c r="Z21" s="4" t="s">
        <v>493</v>
      </c>
      <c r="AA21" s="4" t="s">
        <v>494</v>
      </c>
      <c r="AB21" s="4"/>
      <c r="AC21" s="4"/>
      <c r="AD21" s="4" t="s">
        <v>495</v>
      </c>
      <c r="AE21" s="4"/>
      <c r="AF21" s="4"/>
      <c r="AG21" s="4"/>
      <c r="AH21" s="4"/>
      <c r="AI21" s="4" t="s">
        <v>496</v>
      </c>
      <c r="AJ21" s="4"/>
      <c r="AK21" s="4">
        <v>0</v>
      </c>
      <c r="AL21" s="4"/>
      <c r="AM21" s="4" t="s">
        <v>348</v>
      </c>
      <c r="AN21" s="4" t="s">
        <v>360</v>
      </c>
      <c r="AO21" s="4">
        <v>0</v>
      </c>
      <c r="AP21" s="4" t="s">
        <v>350</v>
      </c>
      <c r="AQ21" s="4">
        <v>5</v>
      </c>
    </row>
    <row r="22" spans="1:43" ht="217.5" x14ac:dyDescent="0.35">
      <c r="A22" t="s">
        <v>128</v>
      </c>
      <c r="B22" s="19" t="s">
        <v>301</v>
      </c>
      <c r="C22" s="19" t="s">
        <v>302</v>
      </c>
      <c r="D22" s="4" t="s">
        <v>129</v>
      </c>
      <c r="E22" s="4"/>
      <c r="F22" s="4"/>
      <c r="G22" s="4"/>
      <c r="H22" s="4"/>
      <c r="I22" s="4"/>
      <c r="J22" s="4"/>
      <c r="K22" s="4" t="s">
        <v>497</v>
      </c>
      <c r="L22" s="4">
        <v>0</v>
      </c>
      <c r="M22" s="4" t="s">
        <v>380</v>
      </c>
      <c r="N22" s="4" t="s">
        <v>364</v>
      </c>
      <c r="O22" s="4">
        <v>0</v>
      </c>
      <c r="P22" s="4" t="s">
        <v>498</v>
      </c>
      <c r="Q22" s="4" t="s">
        <v>499</v>
      </c>
      <c r="R22" s="4"/>
      <c r="S22" s="4">
        <v>0</v>
      </c>
      <c r="T22" s="4"/>
      <c r="U22" s="4" t="s">
        <v>384</v>
      </c>
      <c r="V22" s="4" t="s">
        <v>500</v>
      </c>
      <c r="W22" s="4" t="s">
        <v>501</v>
      </c>
      <c r="X22" s="4"/>
      <c r="Y22" s="4" t="s">
        <v>502</v>
      </c>
      <c r="Z22" s="4"/>
      <c r="AA22" s="4"/>
      <c r="AB22" s="4"/>
      <c r="AC22" s="4"/>
      <c r="AD22" s="4"/>
      <c r="AE22" s="4"/>
      <c r="AF22" s="4"/>
      <c r="AG22" s="4"/>
      <c r="AH22" s="4"/>
      <c r="AI22" s="4"/>
      <c r="AJ22" s="4"/>
      <c r="AK22" s="4">
        <v>0</v>
      </c>
      <c r="AL22" s="4"/>
      <c r="AM22" s="4" t="s">
        <v>348</v>
      </c>
      <c r="AN22" s="4" t="s">
        <v>349</v>
      </c>
      <c r="AO22" s="4">
        <v>0</v>
      </c>
      <c r="AP22" s="4" t="s">
        <v>350</v>
      </c>
      <c r="AQ22" s="4">
        <v>5</v>
      </c>
    </row>
    <row r="23" spans="1:43" ht="58" x14ac:dyDescent="0.35">
      <c r="A23" t="s">
        <v>135</v>
      </c>
      <c r="B23" s="19" t="s">
        <v>301</v>
      </c>
      <c r="C23" s="19" t="s">
        <v>302</v>
      </c>
      <c r="D23" s="4" t="s">
        <v>503</v>
      </c>
      <c r="E23" s="4" t="s">
        <v>504</v>
      </c>
      <c r="F23" s="4" t="s">
        <v>503</v>
      </c>
      <c r="G23" s="4" t="s">
        <v>352</v>
      </c>
      <c r="H23" s="4" t="s">
        <v>505</v>
      </c>
      <c r="I23" s="4"/>
      <c r="J23" s="4" t="s">
        <v>353</v>
      </c>
      <c r="K23" s="4" t="s">
        <v>506</v>
      </c>
      <c r="L23" s="4">
        <v>0</v>
      </c>
      <c r="M23" s="4" t="s">
        <v>380</v>
      </c>
      <c r="N23" s="4" t="s">
        <v>476</v>
      </c>
      <c r="O23" s="4">
        <v>1</v>
      </c>
      <c r="P23" s="4" t="s">
        <v>507</v>
      </c>
      <c r="Q23" s="4"/>
      <c r="R23" s="4" t="s">
        <v>508</v>
      </c>
      <c r="S23" s="4">
        <v>35</v>
      </c>
      <c r="T23" s="4">
        <v>50</v>
      </c>
      <c r="U23" s="4" t="s">
        <v>384</v>
      </c>
      <c r="V23" s="4"/>
      <c r="W23" s="4"/>
      <c r="X23" s="4"/>
      <c r="Y23" s="4" t="s">
        <v>509</v>
      </c>
      <c r="Z23" s="4"/>
      <c r="AA23" s="4"/>
      <c r="AB23" s="4"/>
      <c r="AC23" s="4"/>
      <c r="AD23" s="4"/>
      <c r="AE23" s="4"/>
      <c r="AF23" s="4"/>
      <c r="AG23" s="4"/>
      <c r="AH23" s="4"/>
      <c r="AI23" s="4" t="s">
        <v>510</v>
      </c>
      <c r="AJ23" s="4"/>
      <c r="AK23" s="4">
        <v>0</v>
      </c>
      <c r="AL23" s="4"/>
      <c r="AM23" s="4" t="s">
        <v>348</v>
      </c>
      <c r="AN23" s="4" t="s">
        <v>349</v>
      </c>
      <c r="AO23" s="4">
        <v>1</v>
      </c>
      <c r="AP23" s="4" t="s">
        <v>350</v>
      </c>
      <c r="AQ23" s="4">
        <v>5</v>
      </c>
    </row>
    <row r="24" spans="1:43" ht="409.5" x14ac:dyDescent="0.35">
      <c r="A24" t="s">
        <v>141</v>
      </c>
      <c r="B24" s="19" t="s">
        <v>301</v>
      </c>
      <c r="C24" s="19" t="s">
        <v>302</v>
      </c>
      <c r="D24" s="4" t="s">
        <v>142</v>
      </c>
      <c r="E24" s="4"/>
      <c r="F24" s="4"/>
      <c r="G24" s="4" t="s">
        <v>362</v>
      </c>
      <c r="H24" s="4"/>
      <c r="I24" s="4"/>
      <c r="J24" s="4" t="s">
        <v>511</v>
      </c>
      <c r="K24" s="4"/>
      <c r="L24" s="4">
        <v>0</v>
      </c>
      <c r="M24" s="4" t="s">
        <v>439</v>
      </c>
      <c r="N24" s="4" t="s">
        <v>364</v>
      </c>
      <c r="O24" s="4">
        <v>0</v>
      </c>
      <c r="P24" s="4" t="s">
        <v>512</v>
      </c>
      <c r="Q24" s="4" t="s">
        <v>513</v>
      </c>
      <c r="R24" s="4"/>
      <c r="S24" s="4">
        <v>1</v>
      </c>
      <c r="T24" s="4"/>
      <c r="U24" s="4"/>
      <c r="V24" s="4"/>
      <c r="W24" s="4"/>
      <c r="X24" s="4" t="s">
        <v>514</v>
      </c>
      <c r="Y24" s="4" t="s">
        <v>515</v>
      </c>
      <c r="Z24" s="4"/>
      <c r="AA24" s="4" t="s">
        <v>514</v>
      </c>
      <c r="AB24" s="4"/>
      <c r="AC24" s="4"/>
      <c r="AD24" s="4" t="s">
        <v>359</v>
      </c>
      <c r="AE24" s="4"/>
      <c r="AF24" s="4"/>
      <c r="AG24" s="4"/>
      <c r="AH24" s="4"/>
      <c r="AI24" s="4" t="s">
        <v>516</v>
      </c>
      <c r="AJ24" s="4"/>
      <c r="AK24" s="4">
        <v>0</v>
      </c>
      <c r="AL24" s="4"/>
      <c r="AM24" s="4" t="s">
        <v>348</v>
      </c>
      <c r="AN24" s="4" t="s">
        <v>360</v>
      </c>
      <c r="AO24" s="4">
        <v>0</v>
      </c>
      <c r="AP24" s="4" t="s">
        <v>350</v>
      </c>
      <c r="AQ24" s="4">
        <v>6</v>
      </c>
    </row>
    <row r="25" spans="1:43" ht="217.5" x14ac:dyDescent="0.35">
      <c r="A25" t="s">
        <v>146</v>
      </c>
      <c r="B25" s="19" t="s">
        <v>301</v>
      </c>
      <c r="C25" s="19" t="s">
        <v>302</v>
      </c>
      <c r="D25" s="4" t="s">
        <v>517</v>
      </c>
      <c r="E25" s="4" t="s">
        <v>361</v>
      </c>
      <c r="F25" s="4"/>
      <c r="G25" s="4" t="s">
        <v>362</v>
      </c>
      <c r="H25" s="4"/>
      <c r="I25" s="4"/>
      <c r="J25" s="4" t="s">
        <v>518</v>
      </c>
      <c r="K25" s="4"/>
      <c r="L25" s="4">
        <v>1</v>
      </c>
      <c r="M25" s="4" t="s">
        <v>439</v>
      </c>
      <c r="N25" s="4" t="s">
        <v>364</v>
      </c>
      <c r="O25" s="4">
        <v>0</v>
      </c>
      <c r="P25" s="4" t="s">
        <v>519</v>
      </c>
      <c r="Q25" s="4" t="s">
        <v>520</v>
      </c>
      <c r="R25" s="4"/>
      <c r="S25" s="4">
        <v>0</v>
      </c>
      <c r="T25" s="4"/>
      <c r="U25" s="4" t="s">
        <v>384</v>
      </c>
      <c r="V25" s="4" t="s">
        <v>521</v>
      </c>
      <c r="W25" s="4"/>
      <c r="X25" s="4"/>
      <c r="Y25" s="4"/>
      <c r="Z25" s="4"/>
      <c r="AA25" s="4"/>
      <c r="AB25" s="4"/>
      <c r="AC25" s="4"/>
      <c r="AD25" s="4" t="s">
        <v>359</v>
      </c>
      <c r="AE25" s="4" t="s">
        <v>435</v>
      </c>
      <c r="AF25" s="4"/>
      <c r="AG25" s="4"/>
      <c r="AH25" s="4"/>
      <c r="AI25" s="4" t="s">
        <v>522</v>
      </c>
      <c r="AJ25" s="4">
        <v>1</v>
      </c>
      <c r="AK25" s="4">
        <v>0</v>
      </c>
      <c r="AL25" s="4"/>
      <c r="AM25" s="4" t="s">
        <v>348</v>
      </c>
      <c r="AN25" s="4" t="s">
        <v>360</v>
      </c>
      <c r="AO25" s="4">
        <v>0</v>
      </c>
      <c r="AP25" s="4" t="s">
        <v>350</v>
      </c>
      <c r="AQ25" s="4">
        <v>4</v>
      </c>
    </row>
    <row r="26" spans="1:43" ht="409.5" x14ac:dyDescent="0.35">
      <c r="A26" t="s">
        <v>151</v>
      </c>
      <c r="B26" s="19" t="s">
        <v>301</v>
      </c>
      <c r="C26" s="19" t="s">
        <v>302</v>
      </c>
      <c r="D26" s="4" t="s">
        <v>152</v>
      </c>
      <c r="E26" s="4"/>
      <c r="F26" s="4"/>
      <c r="G26" s="4" t="s">
        <v>352</v>
      </c>
      <c r="H26" s="4"/>
      <c r="I26" s="4"/>
      <c r="J26" s="4"/>
      <c r="K26" s="4"/>
      <c r="L26" s="4">
        <v>0</v>
      </c>
      <c r="M26" s="4" t="s">
        <v>439</v>
      </c>
      <c r="N26" s="4" t="s">
        <v>364</v>
      </c>
      <c r="O26" s="4">
        <v>0</v>
      </c>
      <c r="P26" s="4" t="s">
        <v>523</v>
      </c>
      <c r="Q26" s="4" t="s">
        <v>524</v>
      </c>
      <c r="R26" s="4"/>
      <c r="S26" s="4">
        <v>2</v>
      </c>
      <c r="T26" s="4"/>
      <c r="U26" s="4" t="s">
        <v>384</v>
      </c>
      <c r="V26" s="4" t="s">
        <v>525</v>
      </c>
      <c r="W26" s="4"/>
      <c r="X26" s="4" t="s">
        <v>526</v>
      </c>
      <c r="Y26" s="4" t="s">
        <v>527</v>
      </c>
      <c r="Z26" s="4" t="s">
        <v>528</v>
      </c>
      <c r="AA26" s="4"/>
      <c r="AB26" s="4"/>
      <c r="AC26" s="4"/>
      <c r="AD26" s="4" t="s">
        <v>359</v>
      </c>
      <c r="AE26" s="4"/>
      <c r="AF26" s="4"/>
      <c r="AG26" s="4"/>
      <c r="AH26" s="4"/>
      <c r="AI26" s="4" t="s">
        <v>529</v>
      </c>
      <c r="AJ26" s="4">
        <v>1</v>
      </c>
      <c r="AK26" s="4">
        <v>0</v>
      </c>
      <c r="AL26" s="4"/>
      <c r="AM26" s="4" t="s">
        <v>348</v>
      </c>
      <c r="AN26" s="4" t="s">
        <v>360</v>
      </c>
      <c r="AO26" s="4">
        <v>0</v>
      </c>
      <c r="AP26" s="4" t="s">
        <v>350</v>
      </c>
      <c r="AQ26" s="4">
        <v>6</v>
      </c>
    </row>
    <row r="27" spans="1:43" ht="409.5" x14ac:dyDescent="0.35">
      <c r="A27" t="s">
        <v>157</v>
      </c>
      <c r="B27" s="19" t="s">
        <v>301</v>
      </c>
      <c r="C27" s="19" t="s">
        <v>302</v>
      </c>
      <c r="D27" s="4" t="s">
        <v>158</v>
      </c>
      <c r="E27" s="4" t="s">
        <v>235</v>
      </c>
      <c r="F27" s="4" t="s">
        <v>376</v>
      </c>
      <c r="G27" s="4" t="s">
        <v>362</v>
      </c>
      <c r="H27" s="4"/>
      <c r="I27" s="4"/>
      <c r="J27" s="4" t="s">
        <v>438</v>
      </c>
      <c r="K27" s="4" t="s">
        <v>530</v>
      </c>
      <c r="L27" s="4">
        <v>0</v>
      </c>
      <c r="M27" s="4" t="s">
        <v>447</v>
      </c>
      <c r="N27" s="4" t="s">
        <v>364</v>
      </c>
      <c r="O27" s="4">
        <v>0</v>
      </c>
      <c r="P27" s="4" t="s">
        <v>531</v>
      </c>
      <c r="Q27" s="4" t="s">
        <v>532</v>
      </c>
      <c r="R27" s="4"/>
      <c r="S27" s="4">
        <v>7</v>
      </c>
      <c r="T27" s="4"/>
      <c r="U27" s="4" t="s">
        <v>365</v>
      </c>
      <c r="V27" s="4" t="s">
        <v>533</v>
      </c>
      <c r="W27" s="4"/>
      <c r="X27" s="4" t="s">
        <v>534</v>
      </c>
      <c r="Y27" s="4" t="s">
        <v>535</v>
      </c>
      <c r="Z27" s="4"/>
      <c r="AA27" s="4" t="s">
        <v>536</v>
      </c>
      <c r="AB27" s="4" t="s">
        <v>367</v>
      </c>
      <c r="AC27" s="4" t="s">
        <v>368</v>
      </c>
      <c r="AD27" s="4" t="s">
        <v>359</v>
      </c>
      <c r="AE27" s="4"/>
      <c r="AF27" s="4"/>
      <c r="AG27" s="4"/>
      <c r="AH27" s="4"/>
      <c r="AI27" s="4" t="s">
        <v>537</v>
      </c>
      <c r="AJ27" s="4">
        <v>1</v>
      </c>
      <c r="AK27" s="4">
        <v>0</v>
      </c>
      <c r="AL27" s="4"/>
      <c r="AM27" s="4" t="s">
        <v>348</v>
      </c>
      <c r="AN27" s="4" t="s">
        <v>360</v>
      </c>
      <c r="AO27" s="4">
        <v>0</v>
      </c>
      <c r="AP27" s="4" t="s">
        <v>350</v>
      </c>
      <c r="AQ27" s="4">
        <v>5</v>
      </c>
    </row>
    <row r="28" spans="1:43" ht="362.5" x14ac:dyDescent="0.35">
      <c r="A28" t="s">
        <v>163</v>
      </c>
      <c r="B28" s="19" t="s">
        <v>301</v>
      </c>
      <c r="C28" s="19" t="s">
        <v>302</v>
      </c>
      <c r="D28" s="4" t="s">
        <v>164</v>
      </c>
      <c r="E28" s="4" t="s">
        <v>235</v>
      </c>
      <c r="F28" s="4" t="s">
        <v>538</v>
      </c>
      <c r="G28" s="4" t="s">
        <v>352</v>
      </c>
      <c r="H28" s="4" t="s">
        <v>539</v>
      </c>
      <c r="I28" s="4"/>
      <c r="J28" s="4" t="s">
        <v>430</v>
      </c>
      <c r="K28" s="4"/>
      <c r="L28" s="4">
        <v>0</v>
      </c>
      <c r="M28" s="4" t="s">
        <v>354</v>
      </c>
      <c r="N28" s="4"/>
      <c r="O28" s="4">
        <v>1</v>
      </c>
      <c r="P28" s="4" t="s">
        <v>540</v>
      </c>
      <c r="Q28" s="4" t="s">
        <v>541</v>
      </c>
      <c r="R28" s="4"/>
      <c r="S28" s="4">
        <v>1</v>
      </c>
      <c r="T28" s="4"/>
      <c r="U28" s="4"/>
      <c r="V28" s="4"/>
      <c r="W28" s="4"/>
      <c r="X28" s="4"/>
      <c r="Y28" s="4"/>
      <c r="Z28" s="4"/>
      <c r="AA28" s="4" t="s">
        <v>542</v>
      </c>
      <c r="AB28" s="4"/>
      <c r="AC28" s="4"/>
      <c r="AD28" s="4" t="s">
        <v>359</v>
      </c>
      <c r="AE28" s="4"/>
      <c r="AF28" s="4"/>
      <c r="AG28" s="4"/>
      <c r="AH28" s="4"/>
      <c r="AI28" s="4"/>
      <c r="AJ28" s="4"/>
      <c r="AK28" s="4">
        <v>0</v>
      </c>
      <c r="AL28" s="4"/>
      <c r="AM28" s="4" t="s">
        <v>348</v>
      </c>
      <c r="AN28" s="4" t="s">
        <v>360</v>
      </c>
      <c r="AO28" s="4">
        <v>0</v>
      </c>
      <c r="AP28" s="4" t="s">
        <v>350</v>
      </c>
      <c r="AQ28" s="4">
        <v>5</v>
      </c>
    </row>
    <row r="29" spans="1:43" ht="188.5" x14ac:dyDescent="0.35">
      <c r="A29" t="s">
        <v>170</v>
      </c>
      <c r="B29" s="19" t="s">
        <v>301</v>
      </c>
      <c r="C29" s="19" t="s">
        <v>302</v>
      </c>
      <c r="D29" s="4" t="s">
        <v>171</v>
      </c>
      <c r="E29" s="4" t="s">
        <v>235</v>
      </c>
      <c r="F29" s="4" t="s">
        <v>543</v>
      </c>
      <c r="G29" s="4" t="s">
        <v>352</v>
      </c>
      <c r="H29" s="4"/>
      <c r="I29" s="4"/>
      <c r="J29" s="4" t="s">
        <v>392</v>
      </c>
      <c r="K29" s="4"/>
      <c r="L29" s="4">
        <v>0</v>
      </c>
      <c r="M29" s="4" t="s">
        <v>394</v>
      </c>
      <c r="N29" s="4" t="s">
        <v>381</v>
      </c>
      <c r="O29" s="4">
        <v>0</v>
      </c>
      <c r="P29" s="4" t="s">
        <v>544</v>
      </c>
      <c r="Q29" s="4" t="s">
        <v>545</v>
      </c>
      <c r="R29" s="4"/>
      <c r="S29" s="4">
        <v>1</v>
      </c>
      <c r="T29" s="4"/>
      <c r="U29" s="4" t="s">
        <v>365</v>
      </c>
      <c r="V29" s="4"/>
      <c r="W29" s="4" t="s">
        <v>546</v>
      </c>
      <c r="X29" s="4" t="s">
        <v>547</v>
      </c>
      <c r="Y29" s="4" t="s">
        <v>548</v>
      </c>
      <c r="Z29" s="4"/>
      <c r="AA29" s="4" t="s">
        <v>549</v>
      </c>
      <c r="AB29" s="4"/>
      <c r="AC29" s="4"/>
      <c r="AD29" s="4" t="s">
        <v>550</v>
      </c>
      <c r="AE29" s="4"/>
      <c r="AF29" s="4"/>
      <c r="AG29" s="4"/>
      <c r="AH29" s="4"/>
      <c r="AI29" s="4" t="s">
        <v>551</v>
      </c>
      <c r="AJ29" s="4"/>
      <c r="AK29" s="4">
        <v>0</v>
      </c>
      <c r="AL29" s="4"/>
      <c r="AM29" s="4" t="s">
        <v>348</v>
      </c>
      <c r="AN29" s="4" t="s">
        <v>360</v>
      </c>
      <c r="AO29" s="4">
        <v>0</v>
      </c>
      <c r="AP29" s="4" t="s">
        <v>350</v>
      </c>
      <c r="AQ29" s="4">
        <v>6</v>
      </c>
    </row>
    <row r="30" spans="1:43" ht="203" x14ac:dyDescent="0.35">
      <c r="A30" t="s">
        <v>177</v>
      </c>
      <c r="B30" s="19" t="s">
        <v>301</v>
      </c>
      <c r="C30" s="19" t="s">
        <v>302</v>
      </c>
      <c r="D30" s="4" t="s">
        <v>178</v>
      </c>
      <c r="E30" s="4"/>
      <c r="F30" s="4"/>
      <c r="G30" s="4" t="s">
        <v>352</v>
      </c>
      <c r="H30" s="4"/>
      <c r="I30" s="4"/>
      <c r="J30" s="4"/>
      <c r="K30" s="4"/>
      <c r="L30" s="4">
        <v>0</v>
      </c>
      <c r="M30" s="4" t="s">
        <v>354</v>
      </c>
      <c r="N30" s="4" t="s">
        <v>364</v>
      </c>
      <c r="O30" s="4">
        <v>0</v>
      </c>
      <c r="P30" s="4" t="s">
        <v>552</v>
      </c>
      <c r="Q30" s="4" t="s">
        <v>553</v>
      </c>
      <c r="R30" s="4"/>
      <c r="S30" s="4">
        <v>1</v>
      </c>
      <c r="T30" s="4"/>
      <c r="U30" s="4"/>
      <c r="V30" s="4"/>
      <c r="W30" s="4"/>
      <c r="X30" s="4"/>
      <c r="Y30" s="4"/>
      <c r="Z30" s="4"/>
      <c r="AA30" s="4"/>
      <c r="AB30" s="4"/>
      <c r="AC30" s="4"/>
      <c r="AD30" s="4" t="s">
        <v>359</v>
      </c>
      <c r="AE30" s="4"/>
      <c r="AF30" s="4"/>
      <c r="AG30" s="4"/>
      <c r="AH30" s="4"/>
      <c r="AI30" s="4"/>
      <c r="AJ30" s="4"/>
      <c r="AK30" s="4">
        <v>1</v>
      </c>
      <c r="AL30" s="4"/>
      <c r="AM30" s="4" t="s">
        <v>348</v>
      </c>
      <c r="AN30" s="4" t="s">
        <v>349</v>
      </c>
      <c r="AO30" s="4">
        <v>0</v>
      </c>
      <c r="AP30" s="4" t="s">
        <v>350</v>
      </c>
      <c r="AQ30" s="4">
        <v>6</v>
      </c>
    </row>
    <row r="31" spans="1:43" ht="72.5" x14ac:dyDescent="0.35">
      <c r="A31">
        <v>2164100</v>
      </c>
      <c r="B31" s="19" t="s">
        <v>301</v>
      </c>
      <c r="C31" s="19" t="s">
        <v>302</v>
      </c>
      <c r="D31" s="4" t="s">
        <v>184</v>
      </c>
      <c r="E31" s="4" t="s">
        <v>554</v>
      </c>
      <c r="F31" s="4" t="s">
        <v>555</v>
      </c>
      <c r="G31" s="4" t="s">
        <v>352</v>
      </c>
      <c r="H31" s="4" t="s">
        <v>556</v>
      </c>
      <c r="I31" s="4"/>
      <c r="J31" s="4" t="s">
        <v>557</v>
      </c>
      <c r="K31" s="4"/>
      <c r="L31" s="4">
        <v>0</v>
      </c>
      <c r="M31" s="4" t="s">
        <v>447</v>
      </c>
      <c r="N31" s="4" t="s">
        <v>364</v>
      </c>
      <c r="O31" s="4">
        <v>0</v>
      </c>
      <c r="P31" s="4" t="s">
        <v>558</v>
      </c>
      <c r="Q31" s="4"/>
      <c r="R31" s="4" t="s">
        <v>559</v>
      </c>
      <c r="S31" s="4">
        <v>1</v>
      </c>
      <c r="T31" s="4"/>
      <c r="U31" s="4"/>
      <c r="V31" s="4"/>
      <c r="W31" s="4"/>
      <c r="X31" s="4"/>
      <c r="Y31" s="4" t="s">
        <v>560</v>
      </c>
      <c r="Z31" s="4"/>
      <c r="AA31" s="4"/>
      <c r="AB31" s="4" t="s">
        <v>367</v>
      </c>
      <c r="AC31" s="4" t="s">
        <v>561</v>
      </c>
      <c r="AD31" s="4" t="s">
        <v>359</v>
      </c>
      <c r="AE31" s="4"/>
      <c r="AF31" s="4"/>
      <c r="AG31" s="4"/>
      <c r="AH31" s="4"/>
      <c r="AI31" s="4" t="s">
        <v>562</v>
      </c>
      <c r="AJ31" s="4"/>
      <c r="AK31" s="4">
        <v>0</v>
      </c>
      <c r="AL31" s="4"/>
      <c r="AM31" s="4" t="s">
        <v>348</v>
      </c>
      <c r="AN31" s="4" t="s">
        <v>360</v>
      </c>
      <c r="AO31" s="4">
        <v>0</v>
      </c>
      <c r="AP31" s="4" t="s">
        <v>350</v>
      </c>
      <c r="AQ31" s="4">
        <v>5</v>
      </c>
    </row>
    <row r="32" spans="1:43" ht="409.5" x14ac:dyDescent="0.35">
      <c r="A32" t="s">
        <v>190</v>
      </c>
      <c r="B32" s="19" t="s">
        <v>301</v>
      </c>
      <c r="C32" s="19" t="s">
        <v>302</v>
      </c>
      <c r="D32" s="4" t="s">
        <v>191</v>
      </c>
      <c r="E32" s="4"/>
      <c r="F32" s="4"/>
      <c r="G32" s="4"/>
      <c r="H32" s="4"/>
      <c r="I32" s="4"/>
      <c r="J32" s="4"/>
      <c r="K32" s="4"/>
      <c r="L32" s="4">
        <v>0</v>
      </c>
      <c r="M32" s="4" t="s">
        <v>354</v>
      </c>
      <c r="N32" s="4" t="s">
        <v>381</v>
      </c>
      <c r="O32" s="4">
        <v>0</v>
      </c>
      <c r="P32" s="4" t="s">
        <v>563</v>
      </c>
      <c r="Q32" s="4" t="s">
        <v>564</v>
      </c>
      <c r="R32" s="4"/>
      <c r="S32" s="4">
        <v>1</v>
      </c>
      <c r="T32" s="4"/>
      <c r="U32" s="4" t="s">
        <v>373</v>
      </c>
      <c r="V32" s="4"/>
      <c r="W32" s="4"/>
      <c r="X32" s="4" t="s">
        <v>565</v>
      </c>
      <c r="Y32" s="4"/>
      <c r="Z32" s="4"/>
      <c r="AA32" s="4"/>
      <c r="AB32" s="4"/>
      <c r="AC32" s="4"/>
      <c r="AD32" s="4"/>
      <c r="AE32" s="4"/>
      <c r="AF32" s="4"/>
      <c r="AG32" s="4"/>
      <c r="AH32" s="4"/>
      <c r="AI32" s="4"/>
      <c r="AJ32" s="4"/>
      <c r="AK32" s="4">
        <v>0</v>
      </c>
      <c r="AL32" s="4"/>
      <c r="AM32" s="4" t="s">
        <v>348</v>
      </c>
      <c r="AN32" s="4" t="s">
        <v>349</v>
      </c>
      <c r="AO32" s="4">
        <v>0</v>
      </c>
      <c r="AP32" s="4" t="s">
        <v>350</v>
      </c>
      <c r="AQ32" s="4">
        <v>5</v>
      </c>
    </row>
    <row r="33" spans="1:43" ht="290" x14ac:dyDescent="0.35">
      <c r="A33" t="s">
        <v>197</v>
      </c>
      <c r="B33" s="19" t="s">
        <v>301</v>
      </c>
      <c r="C33" s="19" t="s">
        <v>302</v>
      </c>
      <c r="D33" s="4" t="s">
        <v>198</v>
      </c>
      <c r="E33" s="4" t="s">
        <v>235</v>
      </c>
      <c r="F33" s="4" t="s">
        <v>566</v>
      </c>
      <c r="G33" s="4" t="s">
        <v>352</v>
      </c>
      <c r="H33" s="4"/>
      <c r="I33" s="4"/>
      <c r="J33" s="4" t="s">
        <v>343</v>
      </c>
      <c r="K33" s="4"/>
      <c r="L33" s="4">
        <v>0</v>
      </c>
      <c r="M33" s="4" t="s">
        <v>439</v>
      </c>
      <c r="N33" s="4" t="s">
        <v>381</v>
      </c>
      <c r="O33" s="4">
        <v>1</v>
      </c>
      <c r="P33" s="4" t="s">
        <v>567</v>
      </c>
      <c r="Q33" s="4" t="s">
        <v>568</v>
      </c>
      <c r="R33" s="4"/>
      <c r="S33" s="4">
        <v>1</v>
      </c>
      <c r="T33" s="4"/>
      <c r="U33" s="4" t="s">
        <v>373</v>
      </c>
      <c r="V33" s="4"/>
      <c r="W33" s="4"/>
      <c r="X33" s="4" t="s">
        <v>569</v>
      </c>
      <c r="Y33" s="4" t="s">
        <v>570</v>
      </c>
      <c r="Z33" s="4"/>
      <c r="AA33" s="4"/>
      <c r="AB33" s="4"/>
      <c r="AC33" s="4"/>
      <c r="AD33" s="4" t="s">
        <v>359</v>
      </c>
      <c r="AE33" s="4"/>
      <c r="AF33" s="4"/>
      <c r="AG33" s="4"/>
      <c r="AH33" s="4"/>
      <c r="AI33" s="4"/>
      <c r="AJ33" s="4"/>
      <c r="AK33" s="4">
        <v>0</v>
      </c>
      <c r="AL33" s="4"/>
      <c r="AM33" s="4" t="s">
        <v>348</v>
      </c>
      <c r="AN33" s="4" t="s">
        <v>360</v>
      </c>
      <c r="AO33" s="4">
        <v>0</v>
      </c>
      <c r="AP33" s="4" t="s">
        <v>350</v>
      </c>
      <c r="AQ33" s="4">
        <v>6</v>
      </c>
    </row>
    <row r="34" spans="1:43" ht="409.5" x14ac:dyDescent="0.35">
      <c r="A34" t="s">
        <v>203</v>
      </c>
      <c r="B34" s="19" t="s">
        <v>301</v>
      </c>
      <c r="C34" s="19" t="s">
        <v>302</v>
      </c>
      <c r="D34" s="4" t="s">
        <v>204</v>
      </c>
      <c r="E34" s="4" t="s">
        <v>235</v>
      </c>
      <c r="F34" s="4" t="s">
        <v>571</v>
      </c>
      <c r="G34" s="4" t="s">
        <v>352</v>
      </c>
      <c r="H34" s="4"/>
      <c r="I34" s="4"/>
      <c r="J34" s="4" t="s">
        <v>430</v>
      </c>
      <c r="K34" s="4"/>
      <c r="L34" s="4">
        <v>0</v>
      </c>
      <c r="M34" s="4" t="s">
        <v>354</v>
      </c>
      <c r="N34" s="4"/>
      <c r="O34" s="4">
        <v>0</v>
      </c>
      <c r="P34" s="4" t="s">
        <v>572</v>
      </c>
      <c r="Q34" s="4" t="s">
        <v>573</v>
      </c>
      <c r="R34" s="4"/>
      <c r="S34" s="4">
        <v>2</v>
      </c>
      <c r="T34" s="4"/>
      <c r="U34" s="4"/>
      <c r="V34" s="4"/>
      <c r="W34" s="4"/>
      <c r="X34" s="4" t="s">
        <v>574</v>
      </c>
      <c r="Y34" s="4" t="s">
        <v>575</v>
      </c>
      <c r="Z34" s="4"/>
      <c r="AA34" s="4"/>
      <c r="AB34" s="4"/>
      <c r="AC34" s="4"/>
      <c r="AD34" s="4" t="s">
        <v>359</v>
      </c>
      <c r="AE34" s="4"/>
      <c r="AF34" s="4"/>
      <c r="AG34" s="4"/>
      <c r="AH34" s="4"/>
      <c r="AI34" s="4"/>
      <c r="AJ34" s="4"/>
      <c r="AK34" s="4">
        <v>1</v>
      </c>
      <c r="AL34" s="4"/>
      <c r="AM34" s="4" t="s">
        <v>348</v>
      </c>
      <c r="AN34" s="4" t="s">
        <v>360</v>
      </c>
      <c r="AO34" s="4">
        <v>0</v>
      </c>
      <c r="AP34" s="4" t="s">
        <v>350</v>
      </c>
      <c r="AQ34" s="4">
        <v>5</v>
      </c>
    </row>
    <row r="35" spans="1:43" ht="290" x14ac:dyDescent="0.35">
      <c r="A35" t="s">
        <v>209</v>
      </c>
      <c r="B35" s="19" t="s">
        <v>301</v>
      </c>
      <c r="C35" s="19" t="s">
        <v>302</v>
      </c>
      <c r="D35" s="4" t="s">
        <v>576</v>
      </c>
      <c r="E35" s="4" t="s">
        <v>235</v>
      </c>
      <c r="F35" s="4" t="s">
        <v>577</v>
      </c>
      <c r="G35" s="4" t="s">
        <v>352</v>
      </c>
      <c r="H35" s="4" t="s">
        <v>578</v>
      </c>
      <c r="I35" s="4"/>
      <c r="J35" s="4" t="s">
        <v>414</v>
      </c>
      <c r="K35" s="4"/>
      <c r="L35" s="4">
        <v>0</v>
      </c>
      <c r="M35" s="4" t="s">
        <v>354</v>
      </c>
      <c r="N35" s="4" t="s">
        <v>364</v>
      </c>
      <c r="O35" s="4">
        <v>0</v>
      </c>
      <c r="P35" s="4" t="s">
        <v>579</v>
      </c>
      <c r="Q35" s="4" t="s">
        <v>580</v>
      </c>
      <c r="R35" s="4"/>
      <c r="S35" s="4">
        <v>20</v>
      </c>
      <c r="T35" s="4">
        <v>45</v>
      </c>
      <c r="U35" s="4" t="s">
        <v>373</v>
      </c>
      <c r="V35" s="4"/>
      <c r="W35" s="4"/>
      <c r="X35" s="4"/>
      <c r="Y35" s="4"/>
      <c r="Z35" s="4"/>
      <c r="AA35" s="4" t="s">
        <v>581</v>
      </c>
      <c r="AB35" s="4"/>
      <c r="AC35" s="4"/>
      <c r="AD35" s="4" t="s">
        <v>359</v>
      </c>
      <c r="AE35" s="4" t="s">
        <v>435</v>
      </c>
      <c r="AF35" s="4"/>
      <c r="AG35" s="4"/>
      <c r="AH35" s="4"/>
      <c r="AI35" s="4"/>
      <c r="AJ35" s="4"/>
      <c r="AK35" s="4">
        <v>0</v>
      </c>
      <c r="AL35" s="4"/>
      <c r="AM35" s="4" t="s">
        <v>348</v>
      </c>
      <c r="AN35" s="4" t="s">
        <v>349</v>
      </c>
      <c r="AO35" s="4">
        <v>1</v>
      </c>
      <c r="AP35" s="4" t="s">
        <v>350</v>
      </c>
      <c r="AQ35" s="4">
        <v>5</v>
      </c>
    </row>
    <row r="36" spans="1:43" ht="409.5" x14ac:dyDescent="0.35">
      <c r="A36" t="s">
        <v>214</v>
      </c>
      <c r="B36" s="19" t="s">
        <v>301</v>
      </c>
      <c r="C36" s="19" t="s">
        <v>302</v>
      </c>
      <c r="D36" s="4" t="s">
        <v>582</v>
      </c>
      <c r="E36" s="4" t="s">
        <v>235</v>
      </c>
      <c r="F36" s="4" t="s">
        <v>583</v>
      </c>
      <c r="G36" s="4" t="s">
        <v>352</v>
      </c>
      <c r="H36" s="4" t="s">
        <v>584</v>
      </c>
      <c r="I36" s="4"/>
      <c r="J36" s="4" t="s">
        <v>353</v>
      </c>
      <c r="K36" s="4" t="s">
        <v>585</v>
      </c>
      <c r="L36" s="4">
        <v>0</v>
      </c>
      <c r="M36" s="4" t="s">
        <v>354</v>
      </c>
      <c r="N36" s="4" t="s">
        <v>364</v>
      </c>
      <c r="O36" s="4">
        <v>0</v>
      </c>
      <c r="P36" s="4" t="s">
        <v>586</v>
      </c>
      <c r="Q36" s="4" t="s">
        <v>587</v>
      </c>
      <c r="R36" s="4"/>
      <c r="S36" s="4">
        <v>1</v>
      </c>
      <c r="T36" s="4"/>
      <c r="U36" s="4" t="s">
        <v>373</v>
      </c>
      <c r="V36" s="4"/>
      <c r="W36" s="4"/>
      <c r="X36" s="4"/>
      <c r="Y36" s="4"/>
      <c r="Z36" s="4"/>
      <c r="AA36" s="4"/>
      <c r="AB36" s="4"/>
      <c r="AC36" s="4"/>
      <c r="AD36" s="4" t="s">
        <v>359</v>
      </c>
      <c r="AE36" s="4"/>
      <c r="AF36" s="4"/>
      <c r="AG36" s="4"/>
      <c r="AH36" s="4"/>
      <c r="AI36" s="4"/>
      <c r="AJ36" s="4"/>
      <c r="AK36" s="4">
        <v>0</v>
      </c>
      <c r="AL36" s="4"/>
      <c r="AM36" s="4" t="s">
        <v>348</v>
      </c>
      <c r="AN36" s="4" t="s">
        <v>360</v>
      </c>
      <c r="AO36" s="4">
        <v>0</v>
      </c>
      <c r="AP36" s="4" t="s">
        <v>350</v>
      </c>
      <c r="AQ36" s="4">
        <v>6</v>
      </c>
    </row>
    <row r="37" spans="1:43" ht="409.5" x14ac:dyDescent="0.35">
      <c r="A37" t="s">
        <v>220</v>
      </c>
      <c r="B37" s="19" t="s">
        <v>301</v>
      </c>
      <c r="C37" s="19" t="s">
        <v>302</v>
      </c>
      <c r="D37" s="4" t="s">
        <v>221</v>
      </c>
      <c r="E37" s="4" t="s">
        <v>235</v>
      </c>
      <c r="F37" s="4" t="s">
        <v>588</v>
      </c>
      <c r="G37" s="4" t="s">
        <v>352</v>
      </c>
      <c r="H37" s="4" t="s">
        <v>589</v>
      </c>
      <c r="I37" s="4"/>
      <c r="J37" s="4" t="s">
        <v>518</v>
      </c>
      <c r="K37" s="4"/>
      <c r="L37" s="4">
        <v>0</v>
      </c>
      <c r="M37" s="4" t="s">
        <v>354</v>
      </c>
      <c r="N37" s="4" t="s">
        <v>364</v>
      </c>
      <c r="O37" s="4">
        <v>0</v>
      </c>
      <c r="P37" s="4" t="s">
        <v>590</v>
      </c>
      <c r="Q37" s="4" t="s">
        <v>591</v>
      </c>
      <c r="R37" s="4"/>
      <c r="S37" s="4">
        <v>1</v>
      </c>
      <c r="T37" s="4"/>
      <c r="U37" s="4" t="s">
        <v>373</v>
      </c>
      <c r="V37" s="4"/>
      <c r="W37" s="4"/>
      <c r="X37" s="4"/>
      <c r="Y37" s="4"/>
      <c r="Z37" s="4"/>
      <c r="AA37" s="4"/>
      <c r="AB37" s="4"/>
      <c r="AC37" s="4"/>
      <c r="AD37" s="4" t="s">
        <v>359</v>
      </c>
      <c r="AE37" s="4" t="s">
        <v>435</v>
      </c>
      <c r="AF37" s="4"/>
      <c r="AG37" s="4"/>
      <c r="AH37" s="4"/>
      <c r="AI37" s="4"/>
      <c r="AJ37" s="4"/>
      <c r="AK37" s="4">
        <v>0</v>
      </c>
      <c r="AL37" s="4"/>
      <c r="AM37" s="4" t="s">
        <v>348</v>
      </c>
      <c r="AN37" s="4" t="s">
        <v>360</v>
      </c>
      <c r="AO37" s="4">
        <v>0</v>
      </c>
      <c r="AP37" s="4" t="s">
        <v>350</v>
      </c>
      <c r="AQ37" s="4">
        <v>6</v>
      </c>
    </row>
    <row r="38" spans="1:43" ht="409.5" x14ac:dyDescent="0.35">
      <c r="A38" t="s">
        <v>225</v>
      </c>
      <c r="B38" s="19" t="s">
        <v>301</v>
      </c>
      <c r="C38" s="19" t="s">
        <v>302</v>
      </c>
      <c r="D38" s="4" t="s">
        <v>226</v>
      </c>
      <c r="E38" s="4"/>
      <c r="F38" s="4"/>
      <c r="G38" s="4"/>
      <c r="H38" s="4"/>
      <c r="I38" s="4"/>
      <c r="J38" s="4"/>
      <c r="K38" s="4"/>
      <c r="L38" s="4">
        <v>0</v>
      </c>
      <c r="M38" s="4" t="s">
        <v>439</v>
      </c>
      <c r="N38" s="4" t="s">
        <v>364</v>
      </c>
      <c r="O38" s="4"/>
      <c r="P38" s="4" t="s">
        <v>592</v>
      </c>
      <c r="Q38" s="4" t="s">
        <v>593</v>
      </c>
      <c r="R38" s="4"/>
      <c r="S38" s="4">
        <v>1</v>
      </c>
      <c r="T38" s="4"/>
      <c r="U38" s="4"/>
      <c r="V38" s="4"/>
      <c r="W38" s="4"/>
      <c r="X38" s="4" t="s">
        <v>594</v>
      </c>
      <c r="Y38" s="4" t="s">
        <v>595</v>
      </c>
      <c r="Z38" s="4"/>
      <c r="AA38" s="4" t="s">
        <v>596</v>
      </c>
      <c r="AB38" s="4"/>
      <c r="AC38" s="4"/>
      <c r="AD38" s="4"/>
      <c r="AE38" s="4"/>
      <c r="AF38" s="4"/>
      <c r="AG38" s="4"/>
      <c r="AH38" s="4"/>
      <c r="AI38" s="4"/>
      <c r="AJ38" s="4"/>
      <c r="AK38" s="4">
        <v>0</v>
      </c>
      <c r="AL38" s="4"/>
      <c r="AM38" s="4" t="s">
        <v>348</v>
      </c>
      <c r="AN38" s="4" t="s">
        <v>349</v>
      </c>
      <c r="AO38" s="4">
        <v>0</v>
      </c>
      <c r="AP38" s="4" t="s">
        <v>350</v>
      </c>
      <c r="AQ38" s="4">
        <v>6</v>
      </c>
    </row>
    <row r="39" spans="1:43" ht="409.5" x14ac:dyDescent="0.35">
      <c r="A39" t="s">
        <v>232</v>
      </c>
      <c r="B39" s="19" t="s">
        <v>301</v>
      </c>
      <c r="C39" s="19" t="s">
        <v>302</v>
      </c>
      <c r="D39" s="4" t="s">
        <v>233</v>
      </c>
      <c r="E39" s="4"/>
      <c r="F39" s="4"/>
      <c r="G39" s="4" t="s">
        <v>597</v>
      </c>
      <c r="H39" s="4"/>
      <c r="I39" s="4">
        <v>0</v>
      </c>
      <c r="J39" s="4" t="s">
        <v>378</v>
      </c>
      <c r="K39" s="4"/>
      <c r="L39" s="4">
        <v>0</v>
      </c>
      <c r="M39" s="4" t="s">
        <v>598</v>
      </c>
      <c r="N39" s="4" t="s">
        <v>599</v>
      </c>
      <c r="O39" s="4">
        <v>1</v>
      </c>
      <c r="P39" s="4" t="s">
        <v>233</v>
      </c>
      <c r="Q39" s="4" t="s">
        <v>600</v>
      </c>
      <c r="R39" s="4" t="s">
        <v>601</v>
      </c>
      <c r="S39" s="4">
        <v>4</v>
      </c>
      <c r="T39" s="4"/>
      <c r="U39" s="4" t="s">
        <v>384</v>
      </c>
      <c r="V39" s="4"/>
      <c r="W39" s="4"/>
      <c r="X39" s="4" t="s">
        <v>602</v>
      </c>
      <c r="Y39" s="4"/>
      <c r="Z39" s="4" t="s">
        <v>603</v>
      </c>
      <c r="AA39" s="4"/>
      <c r="AB39" s="4"/>
      <c r="AC39" s="4"/>
      <c r="AD39" s="4" t="s">
        <v>359</v>
      </c>
      <c r="AE39" s="4"/>
      <c r="AF39" s="4"/>
      <c r="AG39" s="4"/>
      <c r="AH39" s="4"/>
      <c r="AI39" s="4" t="s">
        <v>604</v>
      </c>
      <c r="AJ39" s="4"/>
      <c r="AK39" s="4">
        <v>0</v>
      </c>
      <c r="AL39" s="4"/>
      <c r="AM39" s="4" t="s">
        <v>348</v>
      </c>
      <c r="AN39" s="4" t="s">
        <v>360</v>
      </c>
      <c r="AO39" s="4">
        <v>0</v>
      </c>
      <c r="AP39" s="4" t="s">
        <v>350</v>
      </c>
      <c r="AQ39" s="4">
        <v>6</v>
      </c>
    </row>
    <row r="40" spans="1:43" ht="409.5" x14ac:dyDescent="0.35">
      <c r="A40" t="s">
        <v>239</v>
      </c>
      <c r="B40" s="19" t="s">
        <v>301</v>
      </c>
      <c r="C40" s="19" t="s">
        <v>302</v>
      </c>
      <c r="D40" s="4" t="s">
        <v>240</v>
      </c>
      <c r="E40" s="4" t="s">
        <v>361</v>
      </c>
      <c r="F40" s="4"/>
      <c r="G40" s="4" t="s">
        <v>362</v>
      </c>
      <c r="H40" s="4"/>
      <c r="I40" s="4"/>
      <c r="J40" s="4" t="s">
        <v>605</v>
      </c>
      <c r="K40" s="4"/>
      <c r="L40" s="4">
        <v>0</v>
      </c>
      <c r="M40" s="4" t="s">
        <v>439</v>
      </c>
      <c r="N40" s="4" t="s">
        <v>364</v>
      </c>
      <c r="O40" s="4">
        <v>0</v>
      </c>
      <c r="P40" s="4" t="s">
        <v>606</v>
      </c>
      <c r="Q40" s="4" t="s">
        <v>607</v>
      </c>
      <c r="R40" s="4"/>
      <c r="S40" s="4">
        <v>0</v>
      </c>
      <c r="T40" s="4"/>
      <c r="U40" s="4"/>
      <c r="V40" s="4"/>
      <c r="W40" s="4"/>
      <c r="X40" s="4" t="s">
        <v>608</v>
      </c>
      <c r="Y40" s="4" t="s">
        <v>609</v>
      </c>
      <c r="Z40" s="4"/>
      <c r="AA40" s="4"/>
      <c r="AB40" s="4"/>
      <c r="AC40" s="4"/>
      <c r="AD40" s="4" t="s">
        <v>359</v>
      </c>
      <c r="AE40" s="4"/>
      <c r="AF40" s="4"/>
      <c r="AG40" s="4"/>
      <c r="AH40" s="4"/>
      <c r="AI40" s="4"/>
      <c r="AJ40" s="4"/>
      <c r="AK40" s="4">
        <v>0</v>
      </c>
      <c r="AL40" s="4"/>
      <c r="AM40" s="4" t="s">
        <v>348</v>
      </c>
      <c r="AN40" s="4" t="s">
        <v>360</v>
      </c>
      <c r="AO40" s="4">
        <v>0</v>
      </c>
      <c r="AP40" s="4" t="s">
        <v>350</v>
      </c>
      <c r="AQ40" s="4">
        <v>4</v>
      </c>
    </row>
    <row r="41" spans="1:43" ht="409.5" x14ac:dyDescent="0.35">
      <c r="A41" t="s">
        <v>244</v>
      </c>
      <c r="B41" s="19" t="s">
        <v>301</v>
      </c>
      <c r="C41" s="19" t="s">
        <v>302</v>
      </c>
      <c r="D41" s="4" t="s">
        <v>245</v>
      </c>
      <c r="E41" s="4"/>
      <c r="F41" s="4"/>
      <c r="G41" s="4"/>
      <c r="H41" s="4"/>
      <c r="I41" s="4"/>
      <c r="J41" s="4" t="s">
        <v>378</v>
      </c>
      <c r="K41" s="4"/>
      <c r="L41" s="4">
        <v>0</v>
      </c>
      <c r="M41" s="4" t="s">
        <v>486</v>
      </c>
      <c r="N41" s="4"/>
      <c r="O41" s="4"/>
      <c r="P41" s="4" t="s">
        <v>610</v>
      </c>
      <c r="Q41" s="4" t="s">
        <v>611</v>
      </c>
      <c r="R41" s="4" t="s">
        <v>612</v>
      </c>
      <c r="S41" s="4">
        <v>1</v>
      </c>
      <c r="T41" s="4"/>
      <c r="U41" s="4"/>
      <c r="V41" s="4"/>
      <c r="W41" s="4"/>
      <c r="X41" s="4" t="s">
        <v>613</v>
      </c>
      <c r="Y41" s="4" t="s">
        <v>614</v>
      </c>
      <c r="Z41" s="4"/>
      <c r="AA41" s="4" t="s">
        <v>613</v>
      </c>
      <c r="AB41" s="4"/>
      <c r="AC41" s="4"/>
      <c r="AD41" s="4"/>
      <c r="AE41" s="4"/>
      <c r="AF41" s="4"/>
      <c r="AG41" s="4"/>
      <c r="AH41" s="4"/>
      <c r="AI41" s="4"/>
      <c r="AJ41" s="4"/>
      <c r="AK41" s="4">
        <v>0</v>
      </c>
      <c r="AL41" s="4"/>
      <c r="AM41" s="4" t="s">
        <v>348</v>
      </c>
      <c r="AN41" s="4" t="s">
        <v>360</v>
      </c>
      <c r="AO41" s="4">
        <v>0</v>
      </c>
      <c r="AP41" s="4" t="s">
        <v>350</v>
      </c>
      <c r="AQ41" s="4">
        <v>5</v>
      </c>
    </row>
    <row r="42" spans="1:43" ht="116" x14ac:dyDescent="0.35">
      <c r="A42" t="s">
        <v>250</v>
      </c>
      <c r="B42" s="19" t="s">
        <v>301</v>
      </c>
      <c r="C42" s="19" t="s">
        <v>302</v>
      </c>
      <c r="D42" s="4"/>
      <c r="E42" s="4"/>
      <c r="F42" s="4"/>
      <c r="G42" s="4" t="s">
        <v>597</v>
      </c>
      <c r="H42" s="4"/>
      <c r="I42" s="4"/>
      <c r="J42" s="4" t="s">
        <v>518</v>
      </c>
      <c r="K42" s="4"/>
      <c r="L42" s="4">
        <v>0</v>
      </c>
      <c r="M42" s="4" t="s">
        <v>380</v>
      </c>
      <c r="N42" s="4" t="s">
        <v>364</v>
      </c>
      <c r="O42" s="4">
        <v>0</v>
      </c>
      <c r="P42" s="4" t="s">
        <v>615</v>
      </c>
      <c r="Q42" s="4" t="s">
        <v>616</v>
      </c>
      <c r="R42" s="4"/>
      <c r="S42" s="4">
        <v>1</v>
      </c>
      <c r="T42" s="4"/>
      <c r="U42" s="4"/>
      <c r="V42" s="4"/>
      <c r="W42" s="4"/>
      <c r="X42" s="4"/>
      <c r="Y42" s="4" t="s">
        <v>462</v>
      </c>
      <c r="Z42" s="4"/>
      <c r="AA42" s="4"/>
      <c r="AB42" s="4"/>
      <c r="AC42" s="4"/>
      <c r="AD42" s="4" t="s">
        <v>359</v>
      </c>
      <c r="AE42" s="4"/>
      <c r="AF42" s="4"/>
      <c r="AG42" s="4"/>
      <c r="AH42" s="4"/>
      <c r="AI42" s="4" t="s">
        <v>617</v>
      </c>
      <c r="AJ42" s="4"/>
      <c r="AK42" s="4">
        <v>0</v>
      </c>
      <c r="AL42" s="4"/>
      <c r="AM42" s="4" t="s">
        <v>348</v>
      </c>
      <c r="AN42" s="4" t="s">
        <v>349</v>
      </c>
      <c r="AO42" s="4">
        <v>0</v>
      </c>
      <c r="AP42" s="4" t="s">
        <v>350</v>
      </c>
      <c r="AQ42" s="4"/>
    </row>
    <row r="43" spans="1:43" ht="409.5" x14ac:dyDescent="0.35">
      <c r="A43" t="s">
        <v>257</v>
      </c>
      <c r="B43" s="19" t="s">
        <v>301</v>
      </c>
      <c r="C43" s="19" t="s">
        <v>302</v>
      </c>
      <c r="D43" s="4"/>
      <c r="E43" s="4" t="s">
        <v>235</v>
      </c>
      <c r="F43" s="4"/>
      <c r="G43" s="4" t="s">
        <v>352</v>
      </c>
      <c r="H43" s="4"/>
      <c r="I43" s="4"/>
      <c r="J43" s="4" t="s">
        <v>518</v>
      </c>
      <c r="K43" s="4"/>
      <c r="L43" s="4">
        <v>1</v>
      </c>
      <c r="M43" s="4" t="s">
        <v>380</v>
      </c>
      <c r="N43" s="4" t="s">
        <v>364</v>
      </c>
      <c r="O43" s="4"/>
      <c r="P43" s="4" t="s">
        <v>618</v>
      </c>
      <c r="Q43" s="4" t="s">
        <v>619</v>
      </c>
      <c r="R43" s="4"/>
      <c r="S43" s="4">
        <v>0</v>
      </c>
      <c r="T43" s="4">
        <v>2</v>
      </c>
      <c r="U43" s="4"/>
      <c r="V43" s="4" t="s">
        <v>620</v>
      </c>
      <c r="W43" s="4"/>
      <c r="X43" s="4"/>
      <c r="Y43" s="4" t="s">
        <v>621</v>
      </c>
      <c r="Z43" s="4"/>
      <c r="AA43" s="4"/>
      <c r="AB43" s="4" t="s">
        <v>367</v>
      </c>
      <c r="AC43" s="4" t="s">
        <v>622</v>
      </c>
      <c r="AD43" s="4" t="s">
        <v>359</v>
      </c>
      <c r="AE43" s="4"/>
      <c r="AF43" s="4"/>
      <c r="AG43" s="4"/>
      <c r="AH43" s="4"/>
      <c r="AI43" s="4" t="s">
        <v>623</v>
      </c>
      <c r="AJ43" s="4">
        <v>1</v>
      </c>
      <c r="AK43" s="4">
        <v>1</v>
      </c>
      <c r="AL43" s="4"/>
      <c r="AM43" s="4" t="s">
        <v>348</v>
      </c>
      <c r="AN43" s="4" t="s">
        <v>360</v>
      </c>
      <c r="AO43" s="4">
        <v>0</v>
      </c>
      <c r="AP43" s="4" t="s">
        <v>350</v>
      </c>
      <c r="AQ43" s="4"/>
    </row>
    <row r="44" spans="1:43" ht="159.5" x14ac:dyDescent="0.35">
      <c r="A44" t="s">
        <v>262</v>
      </c>
      <c r="B44" s="19" t="s">
        <v>301</v>
      </c>
      <c r="C44" s="19" t="s">
        <v>302</v>
      </c>
      <c r="D44" s="4" t="s">
        <v>263</v>
      </c>
      <c r="E44" s="4" t="s">
        <v>235</v>
      </c>
      <c r="F44" s="4"/>
      <c r="G44" s="4" t="s">
        <v>352</v>
      </c>
      <c r="H44" s="4" t="s">
        <v>624</v>
      </c>
      <c r="I44" s="4"/>
      <c r="J44" s="4" t="s">
        <v>392</v>
      </c>
      <c r="K44" s="4" t="s">
        <v>625</v>
      </c>
      <c r="L44" s="4">
        <v>0</v>
      </c>
      <c r="M44" s="4" t="s">
        <v>394</v>
      </c>
      <c r="N44" s="4" t="s">
        <v>599</v>
      </c>
      <c r="O44" s="4">
        <v>0</v>
      </c>
      <c r="P44" s="4" t="s">
        <v>626</v>
      </c>
      <c r="Q44" s="4" t="s">
        <v>627</v>
      </c>
      <c r="R44" s="4"/>
      <c r="S44" s="4">
        <v>7</v>
      </c>
      <c r="T44" s="4"/>
      <c r="U44" s="4" t="s">
        <v>365</v>
      </c>
      <c r="V44" s="4" t="s">
        <v>628</v>
      </c>
      <c r="W44" s="4"/>
      <c r="X44" s="4"/>
      <c r="Y44" s="4" t="s">
        <v>629</v>
      </c>
      <c r="Z44" s="4"/>
      <c r="AA44" s="4"/>
      <c r="AB44" s="4"/>
      <c r="AC44" s="4"/>
      <c r="AD44" s="4" t="s">
        <v>359</v>
      </c>
      <c r="AE44" s="4"/>
      <c r="AF44" s="4"/>
      <c r="AG44" s="4"/>
      <c r="AH44" s="4"/>
      <c r="AI44" s="4"/>
      <c r="AJ44" s="4"/>
      <c r="AK44" s="4">
        <v>0</v>
      </c>
      <c r="AL44" s="4"/>
      <c r="AM44" s="4" t="s">
        <v>348</v>
      </c>
      <c r="AN44" s="4" t="s">
        <v>360</v>
      </c>
      <c r="AO44" s="4">
        <v>0</v>
      </c>
      <c r="AP44" s="4" t="s">
        <v>350</v>
      </c>
      <c r="AQ44" s="4">
        <v>5</v>
      </c>
    </row>
    <row r="45" spans="1:43" ht="409.5" x14ac:dyDescent="0.35">
      <c r="A45" t="s">
        <v>267</v>
      </c>
      <c r="B45" s="19" t="s">
        <v>301</v>
      </c>
      <c r="C45" s="19" t="s">
        <v>302</v>
      </c>
      <c r="D45" s="4"/>
      <c r="E45" s="4" t="s">
        <v>235</v>
      </c>
      <c r="F45" s="4" t="s">
        <v>630</v>
      </c>
      <c r="G45" s="4" t="s">
        <v>352</v>
      </c>
      <c r="H45" s="4" t="s">
        <v>631</v>
      </c>
      <c r="I45" s="4">
        <v>0</v>
      </c>
      <c r="J45" s="4" t="s">
        <v>353</v>
      </c>
      <c r="K45" s="4" t="s">
        <v>632</v>
      </c>
      <c r="L45" s="4">
        <v>0</v>
      </c>
      <c r="M45" s="4" t="s">
        <v>354</v>
      </c>
      <c r="N45" s="4" t="s">
        <v>364</v>
      </c>
      <c r="O45" s="4">
        <v>0</v>
      </c>
      <c r="P45" s="4" t="s">
        <v>633</v>
      </c>
      <c r="Q45" s="4" t="s">
        <v>634</v>
      </c>
      <c r="R45" s="4"/>
      <c r="S45" s="4">
        <v>7</v>
      </c>
      <c r="T45" s="4"/>
      <c r="U45" s="4" t="s">
        <v>365</v>
      </c>
      <c r="V45" s="4" t="s">
        <v>635</v>
      </c>
      <c r="W45" s="4"/>
      <c r="X45" s="4" t="s">
        <v>636</v>
      </c>
      <c r="Y45" s="4"/>
      <c r="Z45" s="4"/>
      <c r="AA45" s="4"/>
      <c r="AB45" s="4"/>
      <c r="AC45" s="4"/>
      <c r="AD45" s="4" t="s">
        <v>359</v>
      </c>
      <c r="AE45" s="4"/>
      <c r="AF45" s="4"/>
      <c r="AG45" s="4"/>
      <c r="AH45" s="4"/>
      <c r="AI45" s="4" t="s">
        <v>637</v>
      </c>
      <c r="AJ45" s="4">
        <v>1</v>
      </c>
      <c r="AK45" s="4">
        <v>1</v>
      </c>
      <c r="AL45" s="4"/>
      <c r="AM45" s="4" t="s">
        <v>348</v>
      </c>
      <c r="AN45" s="4" t="s">
        <v>360</v>
      </c>
      <c r="AO45" s="4">
        <v>0</v>
      </c>
      <c r="AP45" s="4" t="s">
        <v>350</v>
      </c>
      <c r="AQ45" s="4"/>
    </row>
    <row r="46" spans="1:43" ht="409.5" x14ac:dyDescent="0.35">
      <c r="A46" t="s">
        <v>274</v>
      </c>
      <c r="B46" s="19" t="s">
        <v>301</v>
      </c>
      <c r="C46" s="19" t="s">
        <v>302</v>
      </c>
      <c r="D46" s="4" t="s">
        <v>638</v>
      </c>
      <c r="E46" s="4" t="s">
        <v>235</v>
      </c>
      <c r="F46" s="4" t="s">
        <v>639</v>
      </c>
      <c r="G46" s="4" t="s">
        <v>352</v>
      </c>
      <c r="H46" s="4"/>
      <c r="I46" s="4">
        <v>1</v>
      </c>
      <c r="J46" s="4" t="s">
        <v>353</v>
      </c>
      <c r="K46" s="4" t="s">
        <v>640</v>
      </c>
      <c r="L46" s="4">
        <v>0</v>
      </c>
      <c r="M46" s="4" t="s">
        <v>354</v>
      </c>
      <c r="N46" s="4" t="s">
        <v>476</v>
      </c>
      <c r="O46" s="4">
        <v>1</v>
      </c>
      <c r="P46" s="4" t="s">
        <v>641</v>
      </c>
      <c r="Q46" s="4" t="s">
        <v>642</v>
      </c>
      <c r="R46" s="4"/>
      <c r="S46" s="4">
        <v>10</v>
      </c>
      <c r="T46" s="4"/>
      <c r="U46" s="4"/>
      <c r="V46" s="4"/>
      <c r="W46" s="4"/>
      <c r="X46" s="4"/>
      <c r="Y46" s="4" t="s">
        <v>643</v>
      </c>
      <c r="Z46" s="4"/>
      <c r="AA46" s="4"/>
      <c r="AB46" s="4"/>
      <c r="AC46" s="4"/>
      <c r="AD46" s="4" t="s">
        <v>359</v>
      </c>
      <c r="AE46" s="4" t="s">
        <v>388</v>
      </c>
      <c r="AF46" s="4"/>
      <c r="AG46" s="4"/>
      <c r="AH46" s="4"/>
      <c r="AI46" s="4"/>
      <c r="AJ46" s="4"/>
      <c r="AK46" s="4">
        <v>0</v>
      </c>
      <c r="AL46" s="4"/>
      <c r="AM46" s="4" t="s">
        <v>348</v>
      </c>
      <c r="AN46" s="4" t="s">
        <v>360</v>
      </c>
      <c r="AO46" s="4">
        <v>0</v>
      </c>
      <c r="AP46" s="4" t="s">
        <v>350</v>
      </c>
      <c r="AQ46" s="4">
        <v>5</v>
      </c>
    </row>
    <row r="47" spans="1:43" ht="319" x14ac:dyDescent="0.35">
      <c r="A47" t="s">
        <v>280</v>
      </c>
      <c r="B47" s="19" t="s">
        <v>301</v>
      </c>
      <c r="C47" s="19" t="s">
        <v>302</v>
      </c>
      <c r="D47" s="4"/>
      <c r="E47" s="4"/>
      <c r="F47" s="4"/>
      <c r="G47" s="4"/>
      <c r="H47" s="4"/>
      <c r="I47" s="4"/>
      <c r="J47" s="4"/>
      <c r="K47" s="4"/>
      <c r="L47" s="4">
        <v>0</v>
      </c>
      <c r="M47" s="4" t="s">
        <v>380</v>
      </c>
      <c r="N47" s="4" t="s">
        <v>364</v>
      </c>
      <c r="O47" s="4">
        <v>0</v>
      </c>
      <c r="P47" s="4" t="s">
        <v>644</v>
      </c>
      <c r="Q47" s="4" t="s">
        <v>645</v>
      </c>
      <c r="R47" s="4"/>
      <c r="S47" s="4">
        <v>1</v>
      </c>
      <c r="T47" s="4"/>
      <c r="U47" s="4"/>
      <c r="V47" s="4"/>
      <c r="W47" s="4"/>
      <c r="X47" s="4"/>
      <c r="Y47" s="4" t="s">
        <v>646</v>
      </c>
      <c r="Z47" s="4"/>
      <c r="AA47" s="4"/>
      <c r="AB47" s="4"/>
      <c r="AC47" s="4"/>
      <c r="AD47" s="4" t="s">
        <v>359</v>
      </c>
      <c r="AE47" s="4"/>
      <c r="AF47" s="4"/>
      <c r="AG47" s="4"/>
      <c r="AH47" s="4"/>
      <c r="AI47" s="4" t="s">
        <v>647</v>
      </c>
      <c r="AJ47" s="4"/>
      <c r="AK47" s="4">
        <v>0</v>
      </c>
      <c r="AL47" s="4"/>
      <c r="AM47" s="4" t="s">
        <v>348</v>
      </c>
      <c r="AN47" s="4" t="s">
        <v>349</v>
      </c>
      <c r="AO47" s="4">
        <v>0</v>
      </c>
      <c r="AP47" s="4" t="s">
        <v>350</v>
      </c>
      <c r="AQ47" s="4"/>
    </row>
    <row r="48" spans="1:43" ht="409.5" x14ac:dyDescent="0.35">
      <c r="A48" t="s">
        <v>286</v>
      </c>
      <c r="B48" s="19" t="s">
        <v>301</v>
      </c>
      <c r="C48" s="19" t="s">
        <v>302</v>
      </c>
      <c r="D48" s="4"/>
      <c r="E48" s="4" t="s">
        <v>361</v>
      </c>
      <c r="F48" s="4" t="s">
        <v>648</v>
      </c>
      <c r="G48" s="4" t="s">
        <v>362</v>
      </c>
      <c r="H48" s="4"/>
      <c r="I48" s="4"/>
      <c r="J48" s="4" t="s">
        <v>438</v>
      </c>
      <c r="K48" s="4" t="s">
        <v>649</v>
      </c>
      <c r="L48" s="4">
        <v>0</v>
      </c>
      <c r="M48" s="4" t="s">
        <v>439</v>
      </c>
      <c r="N48" s="4" t="s">
        <v>364</v>
      </c>
      <c r="O48" s="4">
        <v>0</v>
      </c>
      <c r="P48" s="4" t="s">
        <v>650</v>
      </c>
      <c r="Q48" s="4" t="s">
        <v>651</v>
      </c>
      <c r="R48" s="4"/>
      <c r="S48" s="4">
        <v>0</v>
      </c>
      <c r="T48" s="4"/>
      <c r="U48" s="4"/>
      <c r="V48" s="4"/>
      <c r="W48" s="4"/>
      <c r="X48" s="4" t="s">
        <v>652</v>
      </c>
      <c r="Y48" s="4" t="s">
        <v>653</v>
      </c>
      <c r="Z48" s="4"/>
      <c r="AA48" s="4" t="s">
        <v>652</v>
      </c>
      <c r="AB48" s="4" t="s">
        <v>367</v>
      </c>
      <c r="AC48" s="4" t="s">
        <v>368</v>
      </c>
      <c r="AD48" s="4" t="s">
        <v>359</v>
      </c>
      <c r="AE48" s="4"/>
      <c r="AF48" s="4"/>
      <c r="AG48" s="4"/>
      <c r="AH48" s="4"/>
      <c r="AI48" s="4" t="s">
        <v>654</v>
      </c>
      <c r="AJ48" s="4"/>
      <c r="AK48" s="4">
        <v>0</v>
      </c>
      <c r="AL48" s="4"/>
      <c r="AM48" s="4" t="s">
        <v>348</v>
      </c>
      <c r="AN48" s="4" t="s">
        <v>360</v>
      </c>
      <c r="AO48" s="4">
        <v>0</v>
      </c>
      <c r="AP48" s="4" t="s">
        <v>350</v>
      </c>
      <c r="AQ48" s="4"/>
    </row>
    <row r="49" spans="1:43" ht="319" x14ac:dyDescent="0.35">
      <c r="A49" t="s">
        <v>292</v>
      </c>
      <c r="B49" s="19" t="s">
        <v>301</v>
      </c>
      <c r="C49" s="19" t="s">
        <v>302</v>
      </c>
      <c r="D49" s="4"/>
      <c r="E49" s="4"/>
      <c r="F49" s="4"/>
      <c r="G49" s="4" t="s">
        <v>352</v>
      </c>
      <c r="H49" s="4"/>
      <c r="I49" s="4"/>
      <c r="J49" s="4" t="s">
        <v>518</v>
      </c>
      <c r="K49" s="4"/>
      <c r="L49" s="4">
        <v>0</v>
      </c>
      <c r="M49" s="4" t="s">
        <v>380</v>
      </c>
      <c r="N49" s="4" t="s">
        <v>364</v>
      </c>
      <c r="O49" s="4">
        <v>0</v>
      </c>
      <c r="P49" s="4" t="s">
        <v>655</v>
      </c>
      <c r="Q49" s="4" t="s">
        <v>656</v>
      </c>
      <c r="R49" s="4"/>
      <c r="S49" s="4">
        <v>1</v>
      </c>
      <c r="T49" s="4"/>
      <c r="U49" s="4"/>
      <c r="V49" s="4"/>
      <c r="W49" s="4"/>
      <c r="X49" s="4" t="s">
        <v>657</v>
      </c>
      <c r="Y49" s="4" t="s">
        <v>658</v>
      </c>
      <c r="Z49" s="4"/>
      <c r="AA49" s="4"/>
      <c r="AB49" s="4"/>
      <c r="AC49" s="4"/>
      <c r="AD49" s="4" t="s">
        <v>359</v>
      </c>
      <c r="AE49" s="4"/>
      <c r="AF49" s="4"/>
      <c r="AG49" s="4"/>
      <c r="AH49" s="4"/>
      <c r="AI49" s="4"/>
      <c r="AJ49" s="4"/>
      <c r="AK49" s="4">
        <v>0</v>
      </c>
      <c r="AL49" s="4"/>
      <c r="AM49" s="4" t="s">
        <v>348</v>
      </c>
      <c r="AN49" s="4" t="s">
        <v>360</v>
      </c>
      <c r="AO49" s="4">
        <v>0</v>
      </c>
      <c r="AP49" s="4" t="s">
        <v>350</v>
      </c>
      <c r="AQ49" s="4"/>
    </row>
    <row r="50" spans="1:43" ht="409.5" x14ac:dyDescent="0.35">
      <c r="A50" t="s">
        <v>297</v>
      </c>
      <c r="B50" s="19" t="s">
        <v>301</v>
      </c>
      <c r="C50" s="19" t="s">
        <v>302</v>
      </c>
      <c r="D50" s="4" t="s">
        <v>298</v>
      </c>
      <c r="E50" s="4" t="s">
        <v>361</v>
      </c>
      <c r="F50" s="4"/>
      <c r="G50" s="4" t="s">
        <v>352</v>
      </c>
      <c r="H50" s="4" t="s">
        <v>659</v>
      </c>
      <c r="I50" s="4"/>
      <c r="J50" s="4" t="s">
        <v>660</v>
      </c>
      <c r="K50" s="4" t="s">
        <v>661</v>
      </c>
      <c r="L50" s="4">
        <v>0</v>
      </c>
      <c r="M50" s="4" t="s">
        <v>380</v>
      </c>
      <c r="N50" s="4" t="s">
        <v>476</v>
      </c>
      <c r="O50" s="4">
        <v>0</v>
      </c>
      <c r="P50" s="4" t="s">
        <v>662</v>
      </c>
      <c r="Q50" s="4" t="s">
        <v>663</v>
      </c>
      <c r="R50" s="4"/>
      <c r="S50" s="4">
        <v>10</v>
      </c>
      <c r="T50" s="4"/>
      <c r="U50" s="4"/>
      <c r="V50" s="4"/>
      <c r="W50" s="4"/>
      <c r="X50" s="4" t="s">
        <v>664</v>
      </c>
      <c r="Y50" s="4" t="s">
        <v>665</v>
      </c>
      <c r="Z50" s="4"/>
      <c r="AA50" s="4" t="s">
        <v>666</v>
      </c>
      <c r="AB50" s="4"/>
      <c r="AC50" s="4"/>
      <c r="AD50" s="4" t="s">
        <v>359</v>
      </c>
      <c r="AE50" s="4"/>
      <c r="AF50" s="4"/>
      <c r="AG50" s="4"/>
      <c r="AH50" s="4"/>
      <c r="AI50" s="4" t="s">
        <v>667</v>
      </c>
      <c r="AJ50" s="4"/>
      <c r="AK50" s="4">
        <v>0</v>
      </c>
      <c r="AL50" s="4"/>
      <c r="AM50" s="4" t="s">
        <v>348</v>
      </c>
      <c r="AN50" s="4" t="s">
        <v>360</v>
      </c>
      <c r="AO50" s="4">
        <v>1</v>
      </c>
      <c r="AP50" s="4" t="s">
        <v>350</v>
      </c>
      <c r="AQ50" s="4">
        <v>5</v>
      </c>
    </row>
  </sheetData>
  <hyperlinks>
    <hyperlink ref="B2" location="'01_Ofertas_Originales'!A2" display="→ Oferta" xr:uid="{00000000-0004-0000-0100-000000000000}"/>
    <hyperlink ref="C2" location="'03_Matching_ESCO'!A2" display="→ Match" xr:uid="{00000000-0004-0000-0100-000001000000}"/>
    <hyperlink ref="B3" location="'01_Ofertas_Originales'!A3" display="→ Oferta" xr:uid="{00000000-0004-0000-0100-000002000000}"/>
    <hyperlink ref="C3" location="'03_Matching_ESCO'!A3" display="→ Match" xr:uid="{00000000-0004-0000-0100-000003000000}"/>
    <hyperlink ref="B4" location="'01_Ofertas_Originales'!A4" display="→ Oferta" xr:uid="{00000000-0004-0000-0100-000004000000}"/>
    <hyperlink ref="C4" location="'03_Matching_ESCO'!A4" display="→ Match" xr:uid="{00000000-0004-0000-0100-000005000000}"/>
    <hyperlink ref="B5" location="'01_Ofertas_Originales'!A5" display="→ Oferta" xr:uid="{00000000-0004-0000-0100-000006000000}"/>
    <hyperlink ref="C5" location="'03_Matching_ESCO'!A5" display="→ Match" xr:uid="{00000000-0004-0000-0100-000007000000}"/>
    <hyperlink ref="B6" location="'01_Ofertas_Originales'!A6" display="→ Oferta" xr:uid="{00000000-0004-0000-0100-000008000000}"/>
    <hyperlink ref="C6" location="'03_Matching_ESCO'!A6" display="→ Match" xr:uid="{00000000-0004-0000-0100-000009000000}"/>
    <hyperlink ref="B7" location="'01_Ofertas_Originales'!A7" display="→ Oferta" xr:uid="{00000000-0004-0000-0100-00000A000000}"/>
    <hyperlink ref="C7" location="'03_Matching_ESCO'!A7" display="→ Match" xr:uid="{00000000-0004-0000-0100-00000B000000}"/>
    <hyperlink ref="B8" location="'01_Ofertas_Originales'!A8" display="→ Oferta" xr:uid="{00000000-0004-0000-0100-00000C000000}"/>
    <hyperlink ref="C8" location="'03_Matching_ESCO'!A8" display="→ Match" xr:uid="{00000000-0004-0000-0100-00000D000000}"/>
    <hyperlink ref="B9" location="'01_Ofertas_Originales'!A9" display="→ Oferta" xr:uid="{00000000-0004-0000-0100-00000E000000}"/>
    <hyperlink ref="C9" location="'03_Matching_ESCO'!A9" display="→ Match" xr:uid="{00000000-0004-0000-0100-00000F000000}"/>
    <hyperlink ref="B10" location="'01_Ofertas_Originales'!A10" display="→ Oferta" xr:uid="{00000000-0004-0000-0100-000010000000}"/>
    <hyperlink ref="C10" location="'03_Matching_ESCO'!A10" display="→ Match" xr:uid="{00000000-0004-0000-0100-000011000000}"/>
    <hyperlink ref="B11" location="'01_Ofertas_Originales'!A11" display="→ Oferta" xr:uid="{00000000-0004-0000-0100-000012000000}"/>
    <hyperlink ref="C11" location="'03_Matching_ESCO'!A11" display="→ Match" xr:uid="{00000000-0004-0000-0100-000013000000}"/>
    <hyperlink ref="B12" location="'01_Ofertas_Originales'!A12" display="→ Oferta" xr:uid="{00000000-0004-0000-0100-000014000000}"/>
    <hyperlink ref="C12" location="'03_Matching_ESCO'!A12" display="→ Match" xr:uid="{00000000-0004-0000-0100-000015000000}"/>
    <hyperlink ref="B13" location="'01_Ofertas_Originales'!A13" display="→ Oferta" xr:uid="{00000000-0004-0000-0100-000016000000}"/>
    <hyperlink ref="C13" location="'03_Matching_ESCO'!A13" display="→ Match" xr:uid="{00000000-0004-0000-0100-000017000000}"/>
    <hyperlink ref="B14" location="'01_Ofertas_Originales'!A14" display="→ Oferta" xr:uid="{00000000-0004-0000-0100-000018000000}"/>
    <hyperlink ref="C14" location="'03_Matching_ESCO'!A14" display="→ Match" xr:uid="{00000000-0004-0000-0100-000019000000}"/>
    <hyperlink ref="B15" location="'01_Ofertas_Originales'!A15" display="→ Oferta" xr:uid="{00000000-0004-0000-0100-00001A000000}"/>
    <hyperlink ref="C15" location="'03_Matching_ESCO'!A15" display="→ Match" xr:uid="{00000000-0004-0000-0100-00001B000000}"/>
    <hyperlink ref="B16" location="'01_Ofertas_Originales'!A16" display="→ Oferta" xr:uid="{00000000-0004-0000-0100-00001C000000}"/>
    <hyperlink ref="C16" location="'03_Matching_ESCO'!A16" display="→ Match" xr:uid="{00000000-0004-0000-0100-00001D000000}"/>
    <hyperlink ref="B17" location="'01_Ofertas_Originales'!A17" display="→ Oferta" xr:uid="{00000000-0004-0000-0100-00001E000000}"/>
    <hyperlink ref="C17" location="'03_Matching_ESCO'!A17" display="→ Match" xr:uid="{00000000-0004-0000-0100-00001F000000}"/>
    <hyperlink ref="B18" location="'01_Ofertas_Originales'!A18" display="→ Oferta" xr:uid="{00000000-0004-0000-0100-000020000000}"/>
    <hyperlink ref="C18" location="'03_Matching_ESCO'!A18" display="→ Match" xr:uid="{00000000-0004-0000-0100-000021000000}"/>
    <hyperlink ref="B19" location="'01_Ofertas_Originales'!A19" display="→ Oferta" xr:uid="{00000000-0004-0000-0100-000022000000}"/>
    <hyperlink ref="C19" location="'03_Matching_ESCO'!A19" display="→ Match" xr:uid="{00000000-0004-0000-0100-000023000000}"/>
    <hyperlink ref="B20" location="'01_Ofertas_Originales'!A20" display="→ Oferta" xr:uid="{00000000-0004-0000-0100-000024000000}"/>
    <hyperlink ref="C20" location="'03_Matching_ESCO'!A20" display="→ Match" xr:uid="{00000000-0004-0000-0100-000025000000}"/>
    <hyperlink ref="B21" location="'01_Ofertas_Originales'!A21" display="→ Oferta" xr:uid="{00000000-0004-0000-0100-000026000000}"/>
    <hyperlink ref="C21" location="'03_Matching_ESCO'!A21" display="→ Match" xr:uid="{00000000-0004-0000-0100-000027000000}"/>
    <hyperlink ref="B22" location="'01_Ofertas_Originales'!A22" display="→ Oferta" xr:uid="{00000000-0004-0000-0100-000028000000}"/>
    <hyperlink ref="C22" location="'03_Matching_ESCO'!A22" display="→ Match" xr:uid="{00000000-0004-0000-0100-000029000000}"/>
    <hyperlink ref="B23" location="'01_Ofertas_Originales'!A23" display="→ Oferta" xr:uid="{00000000-0004-0000-0100-00002A000000}"/>
    <hyperlink ref="C23" location="'03_Matching_ESCO'!A23" display="→ Match" xr:uid="{00000000-0004-0000-0100-00002B000000}"/>
    <hyperlink ref="B24" location="'01_Ofertas_Originales'!A24" display="→ Oferta" xr:uid="{00000000-0004-0000-0100-00002C000000}"/>
    <hyperlink ref="C24" location="'03_Matching_ESCO'!A24" display="→ Match" xr:uid="{00000000-0004-0000-0100-00002D000000}"/>
    <hyperlink ref="B25" location="'01_Ofertas_Originales'!A25" display="→ Oferta" xr:uid="{00000000-0004-0000-0100-00002E000000}"/>
    <hyperlink ref="C25" location="'03_Matching_ESCO'!A25" display="→ Match" xr:uid="{00000000-0004-0000-0100-00002F000000}"/>
    <hyperlink ref="B26" location="'01_Ofertas_Originales'!A26" display="→ Oferta" xr:uid="{00000000-0004-0000-0100-000030000000}"/>
    <hyperlink ref="C26" location="'03_Matching_ESCO'!A26" display="→ Match" xr:uid="{00000000-0004-0000-0100-000031000000}"/>
    <hyperlink ref="B27" location="'01_Ofertas_Originales'!A27" display="→ Oferta" xr:uid="{00000000-0004-0000-0100-000032000000}"/>
    <hyperlink ref="C27" location="'03_Matching_ESCO'!A27" display="→ Match" xr:uid="{00000000-0004-0000-0100-000033000000}"/>
    <hyperlink ref="B28" location="'01_Ofertas_Originales'!A28" display="→ Oferta" xr:uid="{00000000-0004-0000-0100-000034000000}"/>
    <hyperlink ref="C28" location="'03_Matching_ESCO'!A28" display="→ Match" xr:uid="{00000000-0004-0000-0100-000035000000}"/>
    <hyperlink ref="B29" location="'01_Ofertas_Originales'!A29" display="→ Oferta" xr:uid="{00000000-0004-0000-0100-000036000000}"/>
    <hyperlink ref="C29" location="'03_Matching_ESCO'!A29" display="→ Match" xr:uid="{00000000-0004-0000-0100-000037000000}"/>
    <hyperlink ref="B30" location="'01_Ofertas_Originales'!A30" display="→ Oferta" xr:uid="{00000000-0004-0000-0100-000038000000}"/>
    <hyperlink ref="C30" location="'03_Matching_ESCO'!A30" display="→ Match" xr:uid="{00000000-0004-0000-0100-000039000000}"/>
    <hyperlink ref="B31" location="'01_Ofertas_Originales'!A31" display="→ Oferta" xr:uid="{00000000-0004-0000-0100-00003A000000}"/>
    <hyperlink ref="C31" location="'03_Matching_ESCO'!A31" display="→ Match" xr:uid="{00000000-0004-0000-0100-00003B000000}"/>
    <hyperlink ref="B32" location="'01_Ofertas_Originales'!A32" display="→ Oferta" xr:uid="{00000000-0004-0000-0100-00003C000000}"/>
    <hyperlink ref="C32" location="'03_Matching_ESCO'!A32" display="→ Match" xr:uid="{00000000-0004-0000-0100-00003D000000}"/>
    <hyperlink ref="B33" location="'01_Ofertas_Originales'!A33" display="→ Oferta" xr:uid="{00000000-0004-0000-0100-00003E000000}"/>
    <hyperlink ref="C33" location="'03_Matching_ESCO'!A33" display="→ Match" xr:uid="{00000000-0004-0000-0100-00003F000000}"/>
    <hyperlink ref="B34" location="'01_Ofertas_Originales'!A34" display="→ Oferta" xr:uid="{00000000-0004-0000-0100-000040000000}"/>
    <hyperlink ref="C34" location="'03_Matching_ESCO'!A34" display="→ Match" xr:uid="{00000000-0004-0000-0100-000041000000}"/>
    <hyperlink ref="B35" location="'01_Ofertas_Originales'!A35" display="→ Oferta" xr:uid="{00000000-0004-0000-0100-000042000000}"/>
    <hyperlink ref="C35" location="'03_Matching_ESCO'!A35" display="→ Match" xr:uid="{00000000-0004-0000-0100-000043000000}"/>
    <hyperlink ref="B36" location="'01_Ofertas_Originales'!A36" display="→ Oferta" xr:uid="{00000000-0004-0000-0100-000044000000}"/>
    <hyperlink ref="C36" location="'03_Matching_ESCO'!A36" display="→ Match" xr:uid="{00000000-0004-0000-0100-000045000000}"/>
    <hyperlink ref="B37" location="'01_Ofertas_Originales'!A37" display="→ Oferta" xr:uid="{00000000-0004-0000-0100-000046000000}"/>
    <hyperlink ref="C37" location="'03_Matching_ESCO'!A37" display="→ Match" xr:uid="{00000000-0004-0000-0100-000047000000}"/>
    <hyperlink ref="B38" location="'01_Ofertas_Originales'!A38" display="→ Oferta" xr:uid="{00000000-0004-0000-0100-000048000000}"/>
    <hyperlink ref="C38" location="'03_Matching_ESCO'!A38" display="→ Match" xr:uid="{00000000-0004-0000-0100-000049000000}"/>
    <hyperlink ref="B39" location="'01_Ofertas_Originales'!A39" display="→ Oferta" xr:uid="{00000000-0004-0000-0100-00004A000000}"/>
    <hyperlink ref="C39" location="'03_Matching_ESCO'!A39" display="→ Match" xr:uid="{00000000-0004-0000-0100-00004B000000}"/>
    <hyperlink ref="B40" location="'01_Ofertas_Originales'!A40" display="→ Oferta" xr:uid="{00000000-0004-0000-0100-00004C000000}"/>
    <hyperlink ref="C40" location="'03_Matching_ESCO'!A40" display="→ Match" xr:uid="{00000000-0004-0000-0100-00004D000000}"/>
    <hyperlink ref="B41" location="'01_Ofertas_Originales'!A41" display="→ Oferta" xr:uid="{00000000-0004-0000-0100-00004E000000}"/>
    <hyperlink ref="C41" location="'03_Matching_ESCO'!A41" display="→ Match" xr:uid="{00000000-0004-0000-0100-00004F000000}"/>
    <hyperlink ref="B42" location="'01_Ofertas_Originales'!A42" display="→ Oferta" xr:uid="{00000000-0004-0000-0100-000050000000}"/>
    <hyperlink ref="C42" location="'03_Matching_ESCO'!A42" display="→ Match" xr:uid="{00000000-0004-0000-0100-000051000000}"/>
    <hyperlink ref="B43" location="'01_Ofertas_Originales'!A43" display="→ Oferta" xr:uid="{00000000-0004-0000-0100-000052000000}"/>
    <hyperlink ref="C43" location="'03_Matching_ESCO'!A43" display="→ Match" xr:uid="{00000000-0004-0000-0100-000053000000}"/>
    <hyperlink ref="B44" location="'01_Ofertas_Originales'!A44" display="→ Oferta" xr:uid="{00000000-0004-0000-0100-000054000000}"/>
    <hyperlink ref="C44" location="'03_Matching_ESCO'!A44" display="→ Match" xr:uid="{00000000-0004-0000-0100-000055000000}"/>
    <hyperlink ref="B45" location="'01_Ofertas_Originales'!A45" display="→ Oferta" xr:uid="{00000000-0004-0000-0100-000056000000}"/>
    <hyperlink ref="C45" location="'03_Matching_ESCO'!A45" display="→ Match" xr:uid="{00000000-0004-0000-0100-000057000000}"/>
    <hyperlink ref="B46" location="'01_Ofertas_Originales'!A46" display="→ Oferta" xr:uid="{00000000-0004-0000-0100-000058000000}"/>
    <hyperlink ref="C46" location="'03_Matching_ESCO'!A46" display="→ Match" xr:uid="{00000000-0004-0000-0100-000059000000}"/>
    <hyperlink ref="B47" location="'01_Ofertas_Originales'!A47" display="→ Oferta" xr:uid="{00000000-0004-0000-0100-00005A000000}"/>
    <hyperlink ref="C47" location="'03_Matching_ESCO'!A47" display="→ Match" xr:uid="{00000000-0004-0000-0100-00005B000000}"/>
    <hyperlink ref="B48" location="'01_Ofertas_Originales'!A48" display="→ Oferta" xr:uid="{00000000-0004-0000-0100-00005C000000}"/>
    <hyperlink ref="C48" location="'03_Matching_ESCO'!A48" display="→ Match" xr:uid="{00000000-0004-0000-0100-00005D000000}"/>
    <hyperlink ref="B49" location="'01_Ofertas_Originales'!A49" display="→ Oferta" xr:uid="{00000000-0004-0000-0100-00005E000000}"/>
    <hyperlink ref="C49" location="'03_Matching_ESCO'!A49" display="→ Match" xr:uid="{00000000-0004-0000-0100-00005F000000}"/>
    <hyperlink ref="B50" location="'01_Ofertas_Originales'!A50" display="→ Oferta" xr:uid="{00000000-0004-0000-0100-000060000000}"/>
    <hyperlink ref="C50" location="'03_Matching_ESCO'!A50" display="→ Match" xr:uid="{00000000-0004-0000-0100-000061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T50"/>
  <sheetViews>
    <sheetView workbookViewId="0">
      <pane xSplit="3" ySplit="1" topLeftCell="D7" activePane="bottomRight" state="frozen"/>
      <selection pane="topRight"/>
      <selection pane="bottomLeft"/>
      <selection pane="bottomRight" activeCell="E9" sqref="E9"/>
    </sheetView>
  </sheetViews>
  <sheetFormatPr baseColWidth="10" defaultColWidth="9.1796875" defaultRowHeight="14.5" x14ac:dyDescent="0.35"/>
  <cols>
    <col min="1" max="1" width="12" customWidth="1"/>
    <col min="2" max="3" width="10" customWidth="1"/>
    <col min="4" max="43" width="18" customWidth="1"/>
  </cols>
  <sheetData>
    <row r="1" spans="1:46" ht="26" x14ac:dyDescent="0.35">
      <c r="A1" s="5" t="s">
        <v>0</v>
      </c>
      <c r="B1" s="5" t="s">
        <v>301</v>
      </c>
      <c r="C1" s="5" t="s">
        <v>302</v>
      </c>
      <c r="D1" s="6" t="s">
        <v>303</v>
      </c>
      <c r="E1" s="7" t="s">
        <v>304</v>
      </c>
      <c r="F1" s="7" t="s">
        <v>305</v>
      </c>
      <c r="G1" s="7" t="s">
        <v>306</v>
      </c>
      <c r="H1" s="7" t="s">
        <v>307</v>
      </c>
      <c r="I1" s="7" t="s">
        <v>308</v>
      </c>
      <c r="J1" s="8" t="s">
        <v>309</v>
      </c>
      <c r="K1" s="8" t="s">
        <v>310</v>
      </c>
      <c r="L1" s="8" t="s">
        <v>311</v>
      </c>
      <c r="M1" s="1" t="s">
        <v>312</v>
      </c>
      <c r="N1" s="1" t="s">
        <v>313</v>
      </c>
      <c r="O1" s="1" t="s">
        <v>314</v>
      </c>
      <c r="P1" s="1" t="s">
        <v>315</v>
      </c>
      <c r="Q1" s="9" t="s">
        <v>316</v>
      </c>
      <c r="R1" s="9" t="s">
        <v>317</v>
      </c>
      <c r="S1" s="10" t="s">
        <v>318</v>
      </c>
      <c r="T1" s="10" t="s">
        <v>319</v>
      </c>
      <c r="U1" s="11" t="s">
        <v>320</v>
      </c>
      <c r="V1" s="11" t="s">
        <v>321</v>
      </c>
      <c r="W1" s="11" t="s">
        <v>322</v>
      </c>
      <c r="X1" s="12" t="s">
        <v>323</v>
      </c>
      <c r="Y1" s="12" t="s">
        <v>324</v>
      </c>
      <c r="Z1" s="12" t="s">
        <v>325</v>
      </c>
      <c r="AA1" s="12" t="s">
        <v>326</v>
      </c>
      <c r="AB1" s="6" t="s">
        <v>327</v>
      </c>
      <c r="AC1" s="6" t="s">
        <v>328</v>
      </c>
      <c r="AD1" s="13" t="s">
        <v>329</v>
      </c>
      <c r="AE1" s="13" t="s">
        <v>330</v>
      </c>
      <c r="AF1" s="14" t="s">
        <v>331</v>
      </c>
      <c r="AG1" s="14" t="s">
        <v>332</v>
      </c>
      <c r="AH1" s="14" t="s">
        <v>333</v>
      </c>
      <c r="AI1" s="15" t="s">
        <v>334</v>
      </c>
      <c r="AJ1" s="15" t="s">
        <v>335</v>
      </c>
      <c r="AK1" s="16" t="s">
        <v>336</v>
      </c>
      <c r="AL1" s="16" t="s">
        <v>337</v>
      </c>
      <c r="AM1" s="17" t="s">
        <v>338</v>
      </c>
      <c r="AN1" s="17" t="s">
        <v>339</v>
      </c>
      <c r="AO1" s="17" t="s">
        <v>340</v>
      </c>
      <c r="AP1" s="18" t="s">
        <v>341</v>
      </c>
      <c r="AQ1" s="18" t="s">
        <v>342</v>
      </c>
    </row>
    <row r="2" spans="1:46" ht="145" x14ac:dyDescent="0.35">
      <c r="A2" t="s">
        <v>9</v>
      </c>
      <c r="B2" s="19" t="s">
        <v>301</v>
      </c>
      <c r="C2" s="19" t="s">
        <v>302</v>
      </c>
      <c r="D2" s="4" t="b">
        <v>1</v>
      </c>
      <c r="E2" s="4" t="s">
        <v>908</v>
      </c>
      <c r="F2" s="4" t="b">
        <v>1</v>
      </c>
      <c r="G2" s="4" t="b">
        <v>1</v>
      </c>
      <c r="H2" s="4" t="b">
        <v>1</v>
      </c>
      <c r="I2" s="4" t="b">
        <v>1</v>
      </c>
      <c r="J2" s="4" t="b">
        <v>1</v>
      </c>
      <c r="K2" s="4" t="b">
        <v>1</v>
      </c>
      <c r="L2" s="4" t="b">
        <v>1</v>
      </c>
      <c r="M2" s="4" t="b">
        <v>1</v>
      </c>
      <c r="N2" s="4" t="b">
        <v>1</v>
      </c>
      <c r="O2" s="4" t="b">
        <v>1</v>
      </c>
      <c r="P2" s="4" t="b">
        <v>1</v>
      </c>
      <c r="Q2" s="4" t="b">
        <v>1</v>
      </c>
      <c r="R2" s="4" t="b">
        <v>1</v>
      </c>
      <c r="S2" s="4" t="b">
        <v>1</v>
      </c>
      <c r="T2" s="4" t="b">
        <v>1</v>
      </c>
      <c r="U2" s="4" t="b">
        <v>1</v>
      </c>
      <c r="V2" s="4" t="b">
        <v>1</v>
      </c>
      <c r="W2" s="4" t="b">
        <v>1</v>
      </c>
      <c r="X2" s="4" t="s">
        <v>909</v>
      </c>
      <c r="Y2" s="4" t="b">
        <v>1</v>
      </c>
      <c r="Z2" s="4" t="s">
        <v>910</v>
      </c>
      <c r="AA2" s="4" t="b">
        <v>1</v>
      </c>
      <c r="AB2" s="4" t="b">
        <v>1</v>
      </c>
      <c r="AC2" s="4" t="b">
        <v>1</v>
      </c>
      <c r="AD2" s="4" t="b">
        <v>1</v>
      </c>
      <c r="AE2" s="4" t="b">
        <v>1</v>
      </c>
      <c r="AF2" s="4" t="b">
        <v>1</v>
      </c>
      <c r="AG2" s="4" t="b">
        <v>1</v>
      </c>
      <c r="AH2" s="4" t="b">
        <v>1</v>
      </c>
      <c r="AI2" s="4" t="b">
        <v>1</v>
      </c>
      <c r="AJ2" s="4" t="b">
        <v>1</v>
      </c>
      <c r="AK2" s="4" t="b">
        <v>1</v>
      </c>
      <c r="AL2" s="4" t="b">
        <v>1</v>
      </c>
      <c r="AM2" s="4" t="b">
        <v>1</v>
      </c>
      <c r="AN2" s="4" t="b">
        <v>1</v>
      </c>
      <c r="AO2" s="4" t="b">
        <v>1</v>
      </c>
      <c r="AP2" s="4" t="s">
        <v>350</v>
      </c>
      <c r="AQ2" s="4">
        <v>6</v>
      </c>
      <c r="AT2" t="s">
        <v>345</v>
      </c>
    </row>
    <row r="3" spans="1:46" ht="29" x14ac:dyDescent="0.35">
      <c r="A3" t="s">
        <v>17</v>
      </c>
      <c r="B3" s="19" t="s">
        <v>301</v>
      </c>
      <c r="C3" s="19" t="s">
        <v>302</v>
      </c>
      <c r="D3" s="4" t="b">
        <v>1</v>
      </c>
      <c r="E3" s="4" t="s">
        <v>908</v>
      </c>
      <c r="F3" s="4" t="b">
        <v>0</v>
      </c>
      <c r="G3" s="4" t="b">
        <v>1</v>
      </c>
      <c r="H3" s="4" t="b">
        <v>1</v>
      </c>
      <c r="I3" s="4" t="b">
        <v>1</v>
      </c>
      <c r="J3" s="4" t="b">
        <v>1</v>
      </c>
      <c r="K3" s="4" t="b">
        <v>1</v>
      </c>
      <c r="L3" s="4" t="b">
        <v>1</v>
      </c>
      <c r="M3" s="4" t="b">
        <v>1</v>
      </c>
      <c r="N3" s="4" t="b">
        <v>1</v>
      </c>
      <c r="O3" s="4" t="b">
        <v>1</v>
      </c>
      <c r="P3" s="4" t="b">
        <v>1</v>
      </c>
      <c r="Q3" s="4" t="b">
        <v>1</v>
      </c>
      <c r="R3" s="4" t="b">
        <v>1</v>
      </c>
      <c r="S3" s="4" t="b">
        <v>1</v>
      </c>
      <c r="T3" s="4" t="b">
        <v>1</v>
      </c>
      <c r="U3" s="4" t="b">
        <v>1</v>
      </c>
      <c r="V3" s="4" t="b">
        <v>1</v>
      </c>
      <c r="W3" s="4" t="b">
        <v>1</v>
      </c>
      <c r="X3" s="4" t="b">
        <v>1</v>
      </c>
      <c r="Y3" s="4" t="b">
        <v>1</v>
      </c>
      <c r="Z3" s="4" t="b">
        <v>1</v>
      </c>
      <c r="AA3" s="4" t="b">
        <v>1</v>
      </c>
      <c r="AB3" s="4" t="b">
        <v>1</v>
      </c>
      <c r="AC3" s="4" t="b">
        <v>1</v>
      </c>
      <c r="AD3" s="4" t="b">
        <v>1</v>
      </c>
      <c r="AE3" s="4" t="b">
        <v>1</v>
      </c>
      <c r="AF3" s="4" t="b">
        <v>1</v>
      </c>
      <c r="AG3" s="4" t="b">
        <v>1</v>
      </c>
      <c r="AH3" s="4" t="b">
        <v>1</v>
      </c>
      <c r="AI3" s="4" t="b">
        <v>1</v>
      </c>
      <c r="AJ3" s="4" t="b">
        <v>1</v>
      </c>
      <c r="AK3" s="4" t="b">
        <v>1</v>
      </c>
      <c r="AL3" s="4" t="b">
        <v>1</v>
      </c>
      <c r="AM3" s="4" t="b">
        <v>1</v>
      </c>
      <c r="AN3" s="4" t="b">
        <v>1</v>
      </c>
      <c r="AO3" s="4" t="b">
        <v>1</v>
      </c>
      <c r="AP3" s="4" t="s">
        <v>350</v>
      </c>
      <c r="AQ3" s="4">
        <v>6</v>
      </c>
    </row>
    <row r="4" spans="1:46" ht="87" x14ac:dyDescent="0.35">
      <c r="A4" t="s">
        <v>22</v>
      </c>
      <c r="B4" s="19" t="s">
        <v>301</v>
      </c>
      <c r="C4" s="19" t="s">
        <v>302</v>
      </c>
      <c r="D4" s="4" t="b">
        <v>1</v>
      </c>
      <c r="E4" s="4" t="b">
        <v>1</v>
      </c>
      <c r="F4" s="4" t="b">
        <v>1</v>
      </c>
      <c r="G4" s="4" t="b">
        <v>1</v>
      </c>
      <c r="H4" s="4" t="b">
        <v>1</v>
      </c>
      <c r="I4" s="4" t="b">
        <v>1</v>
      </c>
      <c r="J4" s="4" t="b">
        <v>1</v>
      </c>
      <c r="K4" s="4" t="b">
        <v>1</v>
      </c>
      <c r="L4" s="4" t="b">
        <v>1</v>
      </c>
      <c r="M4" s="4" t="b">
        <v>1</v>
      </c>
      <c r="N4" s="4" t="b">
        <v>0</v>
      </c>
      <c r="O4" s="4" t="b">
        <v>1</v>
      </c>
      <c r="P4" s="4" t="s">
        <v>911</v>
      </c>
      <c r="Q4" s="4" t="b">
        <v>1</v>
      </c>
      <c r="R4" s="4" t="b">
        <v>1</v>
      </c>
      <c r="S4" s="4" t="b">
        <v>1</v>
      </c>
      <c r="T4" s="4" t="b">
        <v>1</v>
      </c>
      <c r="U4" s="4" t="b">
        <v>1</v>
      </c>
      <c r="V4" s="4" t="b">
        <v>1</v>
      </c>
      <c r="W4" s="4" t="b">
        <v>1</v>
      </c>
      <c r="X4" s="4" t="b">
        <v>1</v>
      </c>
      <c r="Y4" s="4" t="b">
        <v>1</v>
      </c>
      <c r="Z4" s="4" t="b">
        <v>1</v>
      </c>
      <c r="AA4" s="4" t="b">
        <v>1</v>
      </c>
      <c r="AB4" s="4" t="b">
        <v>1</v>
      </c>
      <c r="AC4" s="4" t="b">
        <v>1</v>
      </c>
      <c r="AD4" s="4" t="b">
        <v>1</v>
      </c>
      <c r="AE4" s="4" t="b">
        <v>1</v>
      </c>
      <c r="AF4" s="4" t="b">
        <v>1</v>
      </c>
      <c r="AG4" s="4" t="b">
        <v>1</v>
      </c>
      <c r="AH4" s="4" t="b">
        <v>1</v>
      </c>
      <c r="AI4" s="4" t="b">
        <v>1</v>
      </c>
      <c r="AJ4" s="4" t="b">
        <v>1</v>
      </c>
      <c r="AK4" s="4" t="b">
        <v>1</v>
      </c>
      <c r="AL4" s="4" t="b">
        <v>1</v>
      </c>
      <c r="AM4" s="4" t="s">
        <v>348</v>
      </c>
      <c r="AN4" s="4" t="s">
        <v>360</v>
      </c>
      <c r="AO4" s="4">
        <v>0</v>
      </c>
      <c r="AP4" s="4" t="s">
        <v>350</v>
      </c>
      <c r="AQ4" s="4">
        <v>6</v>
      </c>
    </row>
    <row r="5" spans="1:46" x14ac:dyDescent="0.35">
      <c r="A5" t="s">
        <v>28</v>
      </c>
      <c r="B5" s="19" t="s">
        <v>301</v>
      </c>
      <c r="C5" s="19" t="s">
        <v>302</v>
      </c>
      <c r="D5" s="4" t="b">
        <v>1</v>
      </c>
      <c r="E5" s="4" t="b">
        <v>1</v>
      </c>
      <c r="F5" s="4" t="b">
        <v>1</v>
      </c>
      <c r="G5" s="4" t="b">
        <v>1</v>
      </c>
      <c r="H5" s="4" t="b">
        <v>1</v>
      </c>
      <c r="I5" s="4" t="b">
        <v>1</v>
      </c>
      <c r="J5" s="4" t="b">
        <v>1</v>
      </c>
      <c r="K5" s="4" t="b">
        <v>1</v>
      </c>
      <c r="L5" s="4" t="b">
        <v>1</v>
      </c>
      <c r="M5" s="4" t="b">
        <v>1</v>
      </c>
      <c r="N5" s="4" t="b">
        <v>1</v>
      </c>
      <c r="O5" s="4" t="b">
        <v>1</v>
      </c>
      <c r="P5" s="4" t="b">
        <v>1</v>
      </c>
      <c r="Q5" s="4" t="b">
        <v>1</v>
      </c>
      <c r="R5" s="4" t="b">
        <v>1</v>
      </c>
      <c r="S5" s="4" t="b">
        <v>1</v>
      </c>
      <c r="T5" s="4" t="b">
        <v>1</v>
      </c>
      <c r="U5" s="4" t="b">
        <v>1</v>
      </c>
      <c r="V5" s="4" t="b">
        <v>1</v>
      </c>
      <c r="W5" s="4" t="b">
        <v>1</v>
      </c>
      <c r="X5" s="4" t="b">
        <v>1</v>
      </c>
      <c r="Y5" s="4" t="b">
        <v>1</v>
      </c>
      <c r="Z5" s="4" t="b">
        <v>1</v>
      </c>
      <c r="AA5" s="4" t="b">
        <v>1</v>
      </c>
      <c r="AB5" s="4" t="b">
        <v>1</v>
      </c>
      <c r="AC5" s="4" t="b">
        <v>1</v>
      </c>
      <c r="AD5" s="4" t="b">
        <v>1</v>
      </c>
      <c r="AE5" s="4" t="b">
        <v>1</v>
      </c>
      <c r="AF5" s="4" t="b">
        <v>1</v>
      </c>
      <c r="AG5" s="4" t="b">
        <v>1</v>
      </c>
      <c r="AH5" s="4" t="b">
        <v>1</v>
      </c>
      <c r="AI5" s="4" t="b">
        <v>1</v>
      </c>
      <c r="AJ5" s="4" t="b">
        <v>1</v>
      </c>
      <c r="AK5" s="4" t="b">
        <v>1</v>
      </c>
      <c r="AL5" s="4" t="b">
        <v>1</v>
      </c>
      <c r="AM5" s="4" t="s">
        <v>348</v>
      </c>
      <c r="AN5" s="4" t="s">
        <v>360</v>
      </c>
      <c r="AO5" s="4">
        <v>0</v>
      </c>
      <c r="AP5" s="4" t="s">
        <v>350</v>
      </c>
      <c r="AQ5" s="4">
        <v>6</v>
      </c>
    </row>
    <row r="6" spans="1:46" ht="409.5" x14ac:dyDescent="0.35">
      <c r="A6" t="s">
        <v>34</v>
      </c>
      <c r="B6" s="19" t="s">
        <v>301</v>
      </c>
      <c r="C6" s="19" t="s">
        <v>302</v>
      </c>
      <c r="D6" s="4" t="b">
        <v>1</v>
      </c>
      <c r="E6" s="4" t="b">
        <v>1</v>
      </c>
      <c r="F6" s="4" t="b">
        <v>1</v>
      </c>
      <c r="G6" s="4" t="b">
        <v>1</v>
      </c>
      <c r="H6" s="4" t="b">
        <v>1</v>
      </c>
      <c r="I6" s="4" t="b">
        <v>1</v>
      </c>
      <c r="J6" s="4" t="b">
        <v>1</v>
      </c>
      <c r="K6" s="4" t="s">
        <v>912</v>
      </c>
      <c r="L6" s="4" t="b">
        <v>1</v>
      </c>
      <c r="M6" s="4" t="b">
        <v>1</v>
      </c>
      <c r="N6" s="4" t="b">
        <v>1</v>
      </c>
      <c r="O6" s="4" t="b">
        <v>1</v>
      </c>
      <c r="P6" s="4" t="s">
        <v>913</v>
      </c>
      <c r="Q6" s="4" t="b">
        <v>1</v>
      </c>
      <c r="R6" s="4" t="b">
        <v>1</v>
      </c>
      <c r="S6" s="4" t="b">
        <v>1</v>
      </c>
      <c r="T6" s="4" t="b">
        <v>1</v>
      </c>
      <c r="U6" s="4" t="b">
        <v>1</v>
      </c>
      <c r="V6" s="4" t="b">
        <v>1</v>
      </c>
      <c r="W6" s="4" t="b">
        <v>1</v>
      </c>
      <c r="X6" s="4" t="s">
        <v>914</v>
      </c>
      <c r="Y6" s="4" t="b">
        <v>1</v>
      </c>
      <c r="Z6" s="4" t="b">
        <v>1</v>
      </c>
      <c r="AA6" s="4" t="b">
        <v>1</v>
      </c>
      <c r="AB6" s="4" t="b">
        <v>1</v>
      </c>
      <c r="AC6" s="4" t="b">
        <v>1</v>
      </c>
      <c r="AD6" s="4" t="b">
        <v>1</v>
      </c>
      <c r="AE6" s="4" t="b">
        <v>1</v>
      </c>
      <c r="AF6" s="4" t="b">
        <v>1</v>
      </c>
      <c r="AG6" s="4" t="b">
        <v>1</v>
      </c>
      <c r="AH6" s="4" t="b">
        <v>1</v>
      </c>
      <c r="AI6" s="4" t="b">
        <v>1</v>
      </c>
      <c r="AJ6" s="4" t="b">
        <v>1</v>
      </c>
      <c r="AK6" s="4" t="b">
        <v>1</v>
      </c>
      <c r="AL6" s="4" t="b">
        <v>1</v>
      </c>
      <c r="AM6" s="4" t="s">
        <v>348</v>
      </c>
      <c r="AN6" s="4" t="s">
        <v>360</v>
      </c>
      <c r="AO6" s="4">
        <v>0</v>
      </c>
      <c r="AP6" s="4" t="s">
        <v>350</v>
      </c>
      <c r="AQ6" s="4">
        <v>6</v>
      </c>
    </row>
    <row r="7" spans="1:46" x14ac:dyDescent="0.35">
      <c r="A7" t="s">
        <v>40</v>
      </c>
      <c r="B7" s="19" t="s">
        <v>301</v>
      </c>
      <c r="C7" s="19" t="s">
        <v>302</v>
      </c>
      <c r="D7" s="4" t="b">
        <v>1</v>
      </c>
      <c r="E7" s="4" t="b">
        <v>1</v>
      </c>
      <c r="F7" s="4" t="b">
        <v>1</v>
      </c>
      <c r="G7" s="4" t="b">
        <v>1</v>
      </c>
      <c r="H7" s="4" t="b">
        <v>1</v>
      </c>
      <c r="I7" s="4" t="b">
        <v>1</v>
      </c>
      <c r="J7" s="4" t="b">
        <v>1</v>
      </c>
      <c r="K7" s="4" t="b">
        <v>1</v>
      </c>
      <c r="L7" s="4" t="b">
        <v>1</v>
      </c>
      <c r="M7" s="4" t="b">
        <v>1</v>
      </c>
      <c r="N7" s="4" t="b">
        <v>0</v>
      </c>
      <c r="O7" s="4" t="b">
        <v>1</v>
      </c>
      <c r="P7" s="4" t="b">
        <v>1</v>
      </c>
      <c r="Q7" s="4" t="b">
        <v>1</v>
      </c>
      <c r="R7" s="4" t="b">
        <v>1</v>
      </c>
      <c r="S7" s="4" t="b">
        <v>1</v>
      </c>
      <c r="T7" s="4" t="b">
        <v>1</v>
      </c>
      <c r="U7" s="4" t="b">
        <v>1</v>
      </c>
      <c r="V7" s="4" t="b">
        <v>1</v>
      </c>
      <c r="W7" s="4" t="b">
        <v>1</v>
      </c>
      <c r="X7" s="4" t="b">
        <v>1</v>
      </c>
      <c r="Y7" s="4" t="b">
        <v>1</v>
      </c>
      <c r="Z7" s="4" t="b">
        <v>1</v>
      </c>
      <c r="AA7" s="4" t="b">
        <v>1</v>
      </c>
      <c r="AB7" s="4" t="b">
        <v>1</v>
      </c>
      <c r="AC7" s="4" t="b">
        <v>1</v>
      </c>
      <c r="AD7" s="4" t="b">
        <v>1</v>
      </c>
      <c r="AE7" s="4" t="b">
        <v>1</v>
      </c>
      <c r="AF7" s="4" t="b">
        <v>1</v>
      </c>
      <c r="AG7" s="4" t="b">
        <v>1</v>
      </c>
      <c r="AH7" s="4" t="b">
        <v>1</v>
      </c>
      <c r="AI7" s="4" t="b">
        <v>1</v>
      </c>
      <c r="AJ7" s="4" t="b">
        <v>1</v>
      </c>
      <c r="AK7" s="4" t="b">
        <v>1</v>
      </c>
      <c r="AL7" s="4" t="b">
        <v>1</v>
      </c>
      <c r="AM7" s="4" t="s">
        <v>348</v>
      </c>
      <c r="AN7" s="4" t="s">
        <v>360</v>
      </c>
      <c r="AO7" s="4">
        <v>0</v>
      </c>
      <c r="AP7" s="4" t="s">
        <v>350</v>
      </c>
      <c r="AQ7" s="4">
        <v>4</v>
      </c>
    </row>
    <row r="8" spans="1:46" ht="101.5" x14ac:dyDescent="0.35">
      <c r="A8" t="s">
        <v>46</v>
      </c>
      <c r="B8" s="19" t="s">
        <v>301</v>
      </c>
      <c r="C8" s="19" t="s">
        <v>302</v>
      </c>
      <c r="D8" s="4" t="b">
        <v>1</v>
      </c>
      <c r="E8" s="4" t="b">
        <v>1</v>
      </c>
      <c r="F8" s="4" t="s">
        <v>915</v>
      </c>
      <c r="G8" s="4" t="b">
        <v>1</v>
      </c>
      <c r="H8" s="4" t="b">
        <v>1</v>
      </c>
      <c r="I8" s="4" t="b">
        <v>1</v>
      </c>
      <c r="J8" s="4" t="s">
        <v>916</v>
      </c>
      <c r="K8" s="4" t="b">
        <v>1</v>
      </c>
      <c r="L8" s="4" t="b">
        <v>1</v>
      </c>
      <c r="M8" s="4" t="b">
        <v>1</v>
      </c>
      <c r="N8" s="4" t="b">
        <v>1</v>
      </c>
      <c r="O8" s="4" t="b">
        <v>1</v>
      </c>
      <c r="P8" s="4" t="b">
        <v>1</v>
      </c>
      <c r="Q8" s="4" t="b">
        <v>1</v>
      </c>
      <c r="R8" s="4" t="b">
        <v>1</v>
      </c>
      <c r="S8" s="4" t="b">
        <v>1</v>
      </c>
      <c r="T8" s="4" t="b">
        <v>1</v>
      </c>
      <c r="U8" s="4" t="b">
        <v>1</v>
      </c>
      <c r="V8" s="4" t="b">
        <v>1</v>
      </c>
      <c r="W8" s="4" t="b">
        <v>1</v>
      </c>
      <c r="X8" s="4" t="s">
        <v>917</v>
      </c>
      <c r="Y8" s="4" t="b">
        <v>1</v>
      </c>
      <c r="Z8" s="4" t="b">
        <v>1</v>
      </c>
      <c r="AA8" s="4" t="b">
        <v>1</v>
      </c>
      <c r="AB8" s="4" t="b">
        <v>1</v>
      </c>
      <c r="AC8" s="4" t="b">
        <v>1</v>
      </c>
      <c r="AD8" s="4" t="b">
        <v>1</v>
      </c>
      <c r="AE8" s="4" t="b">
        <v>1</v>
      </c>
      <c r="AF8" s="4" t="b">
        <v>1</v>
      </c>
      <c r="AG8" s="4" t="b">
        <v>1</v>
      </c>
      <c r="AH8" s="4" t="b">
        <v>1</v>
      </c>
      <c r="AI8" s="4" t="b">
        <v>1</v>
      </c>
      <c r="AJ8" s="4" t="b">
        <v>1</v>
      </c>
      <c r="AK8" s="4" t="b">
        <v>1</v>
      </c>
      <c r="AL8" s="4" t="b">
        <v>1</v>
      </c>
      <c r="AM8" s="4" t="s">
        <v>348</v>
      </c>
      <c r="AN8" s="4" t="s">
        <v>360</v>
      </c>
      <c r="AO8" s="4">
        <v>0</v>
      </c>
      <c r="AP8" s="4" t="s">
        <v>350</v>
      </c>
      <c r="AQ8" s="4">
        <v>5</v>
      </c>
    </row>
    <row r="9" spans="1:46" ht="87" x14ac:dyDescent="0.35">
      <c r="A9" t="s">
        <v>52</v>
      </c>
      <c r="B9" s="19" t="s">
        <v>301</v>
      </c>
      <c r="C9" s="19" t="s">
        <v>302</v>
      </c>
      <c r="D9" s="4" t="b">
        <v>1</v>
      </c>
      <c r="E9" s="4" t="s">
        <v>918</v>
      </c>
      <c r="F9" s="4" t="s">
        <v>919</v>
      </c>
      <c r="G9" s="4" t="b">
        <v>0</v>
      </c>
      <c r="H9" s="4" t="b">
        <v>0</v>
      </c>
      <c r="I9" s="4" t="b">
        <v>0</v>
      </c>
      <c r="J9" s="4" t="b">
        <v>1</v>
      </c>
      <c r="K9" s="4" t="b">
        <v>1</v>
      </c>
      <c r="L9" s="4" t="b">
        <v>1</v>
      </c>
      <c r="M9" s="4" t="s">
        <v>920</v>
      </c>
      <c r="N9" s="4" t="b">
        <v>0</v>
      </c>
      <c r="O9" s="4" t="b">
        <v>1</v>
      </c>
      <c r="P9" s="4" t="s">
        <v>921</v>
      </c>
      <c r="Q9" s="4" t="b">
        <v>1</v>
      </c>
      <c r="R9" s="4" t="b">
        <v>1</v>
      </c>
      <c r="S9" s="4" t="b">
        <v>1</v>
      </c>
      <c r="T9" s="4" t="b">
        <v>1</v>
      </c>
      <c r="U9" s="4" t="b">
        <v>1</v>
      </c>
      <c r="V9" s="4" t="b">
        <v>1</v>
      </c>
      <c r="W9" s="4" t="b">
        <v>1</v>
      </c>
      <c r="X9" s="4" t="b">
        <v>1</v>
      </c>
      <c r="Y9" s="4" t="b">
        <v>1</v>
      </c>
      <c r="Z9" s="4" t="b">
        <v>1</v>
      </c>
      <c r="AA9" s="4" t="b">
        <v>1</v>
      </c>
      <c r="AB9" s="4" t="b">
        <v>1</v>
      </c>
      <c r="AC9" s="4" t="b">
        <v>1</v>
      </c>
      <c r="AD9" s="4" t="b">
        <v>1</v>
      </c>
      <c r="AE9" s="4" t="b">
        <v>1</v>
      </c>
      <c r="AF9" s="4" t="b">
        <v>1</v>
      </c>
      <c r="AG9" s="4" t="b">
        <v>1</v>
      </c>
      <c r="AH9" s="4" t="b">
        <v>1</v>
      </c>
      <c r="AI9" s="4" t="b">
        <v>1</v>
      </c>
      <c r="AJ9" s="4" t="b">
        <v>1</v>
      </c>
      <c r="AK9" s="4" t="b">
        <v>1</v>
      </c>
      <c r="AL9" s="4" t="b">
        <v>1</v>
      </c>
      <c r="AM9" s="4" t="s">
        <v>348</v>
      </c>
      <c r="AN9" s="4" t="s">
        <v>349</v>
      </c>
      <c r="AO9" s="4">
        <v>0</v>
      </c>
      <c r="AP9" s="4" t="s">
        <v>350</v>
      </c>
      <c r="AQ9" s="4">
        <v>5</v>
      </c>
    </row>
    <row r="10" spans="1:46" ht="58" x14ac:dyDescent="0.35">
      <c r="A10" t="s">
        <v>58</v>
      </c>
      <c r="B10" s="19" t="s">
        <v>301</v>
      </c>
      <c r="C10" s="19" t="s">
        <v>302</v>
      </c>
      <c r="D10" s="4" t="s">
        <v>59</v>
      </c>
      <c r="E10" s="4" t="s">
        <v>235</v>
      </c>
      <c r="F10" s="4" t="s">
        <v>413</v>
      </c>
      <c r="G10" s="4" t="s">
        <v>352</v>
      </c>
      <c r="H10" s="4"/>
      <c r="I10" s="4"/>
      <c r="J10" s="4" t="s">
        <v>414</v>
      </c>
      <c r="K10" s="4"/>
      <c r="L10" s="4">
        <v>0</v>
      </c>
      <c r="M10" s="4" t="s">
        <v>354</v>
      </c>
      <c r="N10" s="4" t="s">
        <v>364</v>
      </c>
      <c r="O10" s="4">
        <v>0</v>
      </c>
      <c r="P10" s="4" t="s">
        <v>415</v>
      </c>
      <c r="Q10" s="4"/>
      <c r="R10" s="4" t="s">
        <v>416</v>
      </c>
      <c r="S10" s="4">
        <v>0</v>
      </c>
      <c r="T10" s="4"/>
      <c r="U10" s="4" t="s">
        <v>373</v>
      </c>
      <c r="V10" s="4"/>
      <c r="W10" s="4"/>
      <c r="X10" s="4"/>
      <c r="Y10" s="4"/>
      <c r="Z10" s="4"/>
      <c r="AA10" s="4"/>
      <c r="AB10" s="4"/>
      <c r="AC10" s="4"/>
      <c r="AD10" s="4" t="s">
        <v>359</v>
      </c>
      <c r="AE10" s="4"/>
      <c r="AF10" s="4"/>
      <c r="AG10" s="4"/>
      <c r="AH10" s="4"/>
      <c r="AI10" s="4"/>
      <c r="AJ10" s="4"/>
      <c r="AK10" s="4">
        <v>1</v>
      </c>
      <c r="AL10" s="4" t="s">
        <v>417</v>
      </c>
      <c r="AM10" s="4" t="s">
        <v>348</v>
      </c>
      <c r="AN10" s="4" t="s">
        <v>349</v>
      </c>
      <c r="AO10" s="4">
        <v>0</v>
      </c>
      <c r="AP10" s="4" t="s">
        <v>350</v>
      </c>
      <c r="AQ10" s="4">
        <v>5</v>
      </c>
    </row>
    <row r="11" spans="1:46" ht="217.5" x14ac:dyDescent="0.35">
      <c r="A11" t="s">
        <v>64</v>
      </c>
      <c r="B11" s="19" t="s">
        <v>301</v>
      </c>
      <c r="C11" s="19" t="s">
        <v>302</v>
      </c>
      <c r="D11" s="4" t="s">
        <v>65</v>
      </c>
      <c r="E11" s="4" t="s">
        <v>235</v>
      </c>
      <c r="F11" s="4" t="s">
        <v>418</v>
      </c>
      <c r="G11" s="4" t="s">
        <v>352</v>
      </c>
      <c r="H11" s="4" t="s">
        <v>419</v>
      </c>
      <c r="I11" s="4">
        <v>1</v>
      </c>
      <c r="J11" s="4" t="s">
        <v>378</v>
      </c>
      <c r="K11" s="4" t="s">
        <v>420</v>
      </c>
      <c r="L11" s="4">
        <v>0</v>
      </c>
      <c r="M11" s="4" t="s">
        <v>380</v>
      </c>
      <c r="N11" s="4" t="s">
        <v>364</v>
      </c>
      <c r="O11" s="4">
        <v>0</v>
      </c>
      <c r="P11" s="4" t="s">
        <v>421</v>
      </c>
      <c r="Q11" s="4" t="s">
        <v>422</v>
      </c>
      <c r="R11" s="4" t="s">
        <v>423</v>
      </c>
      <c r="S11" s="4">
        <v>1</v>
      </c>
      <c r="T11" s="4"/>
      <c r="U11" s="4" t="s">
        <v>373</v>
      </c>
      <c r="V11" s="4"/>
      <c r="W11" s="4"/>
      <c r="X11" s="4" t="s">
        <v>424</v>
      </c>
      <c r="Y11" s="4" t="s">
        <v>346</v>
      </c>
      <c r="Z11" s="4"/>
      <c r="AA11" s="4" t="s">
        <v>425</v>
      </c>
      <c r="AB11" s="4"/>
      <c r="AC11" s="4"/>
      <c r="AD11" s="4" t="s">
        <v>359</v>
      </c>
      <c r="AE11" s="4"/>
      <c r="AF11" s="4"/>
      <c r="AG11" s="4"/>
      <c r="AH11" s="4"/>
      <c r="AI11" s="4" t="s">
        <v>426</v>
      </c>
      <c r="AJ11" s="4"/>
      <c r="AK11" s="4">
        <v>1</v>
      </c>
      <c r="AL11" s="4" t="s">
        <v>427</v>
      </c>
      <c r="AM11" s="4" t="s">
        <v>348</v>
      </c>
      <c r="AN11" s="4" t="s">
        <v>360</v>
      </c>
      <c r="AO11" s="4">
        <v>0</v>
      </c>
      <c r="AP11" s="4" t="s">
        <v>350</v>
      </c>
      <c r="AQ11" s="4">
        <v>6</v>
      </c>
    </row>
    <row r="12" spans="1:46" ht="409.5" x14ac:dyDescent="0.35">
      <c r="A12" t="s">
        <v>70</v>
      </c>
      <c r="B12" s="19" t="s">
        <v>301</v>
      </c>
      <c r="C12" s="19" t="s">
        <v>302</v>
      </c>
      <c r="D12" s="4" t="s">
        <v>71</v>
      </c>
      <c r="E12" s="4" t="s">
        <v>235</v>
      </c>
      <c r="F12" s="4" t="s">
        <v>428</v>
      </c>
      <c r="G12" s="4" t="s">
        <v>352</v>
      </c>
      <c r="H12" s="4" t="s">
        <v>429</v>
      </c>
      <c r="I12" s="4"/>
      <c r="J12" s="4" t="s">
        <v>430</v>
      </c>
      <c r="K12" s="4"/>
      <c r="L12" s="4">
        <v>1</v>
      </c>
      <c r="M12" s="4" t="s">
        <v>431</v>
      </c>
      <c r="N12" s="4" t="s">
        <v>364</v>
      </c>
      <c r="O12" s="4">
        <v>0</v>
      </c>
      <c r="P12" s="4" t="s">
        <v>432</v>
      </c>
      <c r="Q12" s="4" t="s">
        <v>433</v>
      </c>
      <c r="R12" s="4"/>
      <c r="S12" s="4">
        <v>1</v>
      </c>
      <c r="T12" s="4"/>
      <c r="U12" s="4" t="s">
        <v>373</v>
      </c>
      <c r="V12" s="4"/>
      <c r="W12" s="4"/>
      <c r="X12" s="4" t="s">
        <v>434</v>
      </c>
      <c r="Y12" s="4"/>
      <c r="Z12" s="4"/>
      <c r="AA12" s="4"/>
      <c r="AB12" s="4"/>
      <c r="AC12" s="4"/>
      <c r="AD12" s="4" t="s">
        <v>359</v>
      </c>
      <c r="AE12" s="4" t="s">
        <v>435</v>
      </c>
      <c r="AF12" s="4"/>
      <c r="AG12" s="4"/>
      <c r="AH12" s="4"/>
      <c r="AI12" s="4" t="s">
        <v>436</v>
      </c>
      <c r="AJ12" s="4"/>
      <c r="AK12" s="4">
        <v>0</v>
      </c>
      <c r="AL12" s="4"/>
      <c r="AM12" s="4" t="s">
        <v>348</v>
      </c>
      <c r="AN12" s="4" t="s">
        <v>360</v>
      </c>
      <c r="AO12" s="4">
        <v>0</v>
      </c>
      <c r="AP12" s="4" t="s">
        <v>350</v>
      </c>
      <c r="AQ12" s="4">
        <v>6</v>
      </c>
    </row>
    <row r="13" spans="1:46" ht="409.5" x14ac:dyDescent="0.35">
      <c r="A13" t="s">
        <v>76</v>
      </c>
      <c r="B13" s="19" t="s">
        <v>301</v>
      </c>
      <c r="C13" s="19" t="s">
        <v>302</v>
      </c>
      <c r="D13" s="4" t="s">
        <v>77</v>
      </c>
      <c r="E13" s="4" t="s">
        <v>361</v>
      </c>
      <c r="F13" s="4" t="s">
        <v>437</v>
      </c>
      <c r="G13" s="4" t="s">
        <v>362</v>
      </c>
      <c r="H13" s="4"/>
      <c r="I13" s="4"/>
      <c r="J13" s="4" t="s">
        <v>438</v>
      </c>
      <c r="K13" s="4"/>
      <c r="L13" s="4">
        <v>1</v>
      </c>
      <c r="M13" s="4" t="s">
        <v>439</v>
      </c>
      <c r="N13" s="4" t="s">
        <v>364</v>
      </c>
      <c r="O13" s="4">
        <v>0</v>
      </c>
      <c r="P13" s="4" t="s">
        <v>440</v>
      </c>
      <c r="Q13" s="4" t="s">
        <v>441</v>
      </c>
      <c r="R13" s="4"/>
      <c r="S13" s="4">
        <v>1</v>
      </c>
      <c r="T13" s="4"/>
      <c r="U13" s="4" t="s">
        <v>365</v>
      </c>
      <c r="V13" s="4" t="s">
        <v>442</v>
      </c>
      <c r="W13" s="4"/>
      <c r="X13" s="4" t="s">
        <v>443</v>
      </c>
      <c r="Y13" s="4"/>
      <c r="Z13" s="4"/>
      <c r="AA13" s="4" t="s">
        <v>424</v>
      </c>
      <c r="AB13" s="4" t="s">
        <v>367</v>
      </c>
      <c r="AC13" s="4" t="s">
        <v>368</v>
      </c>
      <c r="AD13" s="4" t="s">
        <v>359</v>
      </c>
      <c r="AE13" s="4"/>
      <c r="AF13" s="4"/>
      <c r="AG13" s="4"/>
      <c r="AH13" s="4"/>
      <c r="AI13" s="4" t="s">
        <v>444</v>
      </c>
      <c r="AJ13" s="4">
        <v>1</v>
      </c>
      <c r="AK13" s="4">
        <v>0</v>
      </c>
      <c r="AL13" s="4"/>
      <c r="AM13" s="4" t="s">
        <v>348</v>
      </c>
      <c r="AN13" s="4" t="s">
        <v>360</v>
      </c>
      <c r="AO13" s="4">
        <v>0</v>
      </c>
      <c r="AP13" s="4" t="s">
        <v>350</v>
      </c>
      <c r="AQ13" s="4">
        <v>6</v>
      </c>
    </row>
    <row r="14" spans="1:46" ht="261" x14ac:dyDescent="0.35">
      <c r="A14" t="s">
        <v>81</v>
      </c>
      <c r="B14" s="19" t="s">
        <v>301</v>
      </c>
      <c r="C14" s="19" t="s">
        <v>302</v>
      </c>
      <c r="D14" s="4" t="s">
        <v>445</v>
      </c>
      <c r="E14" s="4"/>
      <c r="F14" s="4" t="s">
        <v>446</v>
      </c>
      <c r="G14" s="4" t="s">
        <v>352</v>
      </c>
      <c r="H14" s="4"/>
      <c r="I14" s="4"/>
      <c r="J14" s="4"/>
      <c r="K14" s="4"/>
      <c r="L14" s="4">
        <v>0</v>
      </c>
      <c r="M14" s="4" t="s">
        <v>447</v>
      </c>
      <c r="N14" s="4" t="s">
        <v>364</v>
      </c>
      <c r="O14" s="4">
        <v>0</v>
      </c>
      <c r="P14" s="4" t="s">
        <v>448</v>
      </c>
      <c r="Q14" s="4" t="s">
        <v>449</v>
      </c>
      <c r="R14" s="4"/>
      <c r="S14" s="4">
        <v>0</v>
      </c>
      <c r="T14" s="4"/>
      <c r="U14" s="4"/>
      <c r="V14" s="4"/>
      <c r="W14" s="4"/>
      <c r="X14" s="4"/>
      <c r="Y14" s="4"/>
      <c r="Z14" s="4"/>
      <c r="AA14" s="4"/>
      <c r="AB14" s="4"/>
      <c r="AC14" s="4"/>
      <c r="AD14" s="4" t="s">
        <v>359</v>
      </c>
      <c r="AE14" s="4" t="s">
        <v>435</v>
      </c>
      <c r="AF14" s="4"/>
      <c r="AG14" s="4"/>
      <c r="AH14" s="4"/>
      <c r="AI14" s="4"/>
      <c r="AJ14" s="4"/>
      <c r="AK14" s="4">
        <v>0</v>
      </c>
      <c r="AL14" s="4"/>
      <c r="AM14" s="4" t="s">
        <v>348</v>
      </c>
      <c r="AN14" s="4" t="s">
        <v>360</v>
      </c>
      <c r="AO14" s="4">
        <v>0</v>
      </c>
      <c r="AP14" s="4" t="s">
        <v>350</v>
      </c>
      <c r="AQ14" s="4">
        <v>5</v>
      </c>
    </row>
    <row r="15" spans="1:46" ht="409.5" x14ac:dyDescent="0.35">
      <c r="A15" t="s">
        <v>87</v>
      </c>
      <c r="B15" s="19" t="s">
        <v>301</v>
      </c>
      <c r="C15" s="19" t="s">
        <v>302</v>
      </c>
      <c r="D15" s="4" t="s">
        <v>88</v>
      </c>
      <c r="E15" s="4" t="s">
        <v>235</v>
      </c>
      <c r="F15" s="4" t="s">
        <v>450</v>
      </c>
      <c r="G15" s="4" t="s">
        <v>352</v>
      </c>
      <c r="H15" s="4" t="s">
        <v>451</v>
      </c>
      <c r="I15" s="4">
        <v>1</v>
      </c>
      <c r="J15" s="4" t="s">
        <v>430</v>
      </c>
      <c r="K15" s="4"/>
      <c r="L15" s="4">
        <v>0</v>
      </c>
      <c r="M15" s="4" t="s">
        <v>439</v>
      </c>
      <c r="N15" s="4" t="s">
        <v>381</v>
      </c>
      <c r="O15" s="4">
        <v>0</v>
      </c>
      <c r="P15" s="4" t="s">
        <v>452</v>
      </c>
      <c r="Q15" s="4" t="s">
        <v>453</v>
      </c>
      <c r="R15" s="4"/>
      <c r="S15" s="4">
        <v>5</v>
      </c>
      <c r="T15" s="4"/>
      <c r="U15" s="4"/>
      <c r="V15" s="4"/>
      <c r="W15" s="4"/>
      <c r="X15" s="4" t="s">
        <v>454</v>
      </c>
      <c r="Y15" s="4"/>
      <c r="Z15" s="4"/>
      <c r="AA15" s="4"/>
      <c r="AB15" s="4"/>
      <c r="AC15" s="4"/>
      <c r="AD15" s="4" t="s">
        <v>359</v>
      </c>
      <c r="AE15" s="4"/>
      <c r="AF15" s="4"/>
      <c r="AG15" s="4"/>
      <c r="AH15" s="4"/>
      <c r="AI15" s="4" t="s">
        <v>455</v>
      </c>
      <c r="AJ15" s="4"/>
      <c r="AK15" s="4">
        <v>0</v>
      </c>
      <c r="AL15" s="4"/>
      <c r="AM15" s="4" t="s">
        <v>348</v>
      </c>
      <c r="AN15" s="4" t="s">
        <v>360</v>
      </c>
      <c r="AO15" s="4">
        <v>0</v>
      </c>
      <c r="AP15" s="4" t="s">
        <v>350</v>
      </c>
      <c r="AQ15" s="4">
        <v>6</v>
      </c>
    </row>
    <row r="16" spans="1:46" ht="409.5" x14ac:dyDescent="0.35">
      <c r="A16" t="s">
        <v>93</v>
      </c>
      <c r="B16" s="19" t="s">
        <v>301</v>
      </c>
      <c r="C16" s="19" t="s">
        <v>302</v>
      </c>
      <c r="D16" s="4" t="s">
        <v>94</v>
      </c>
      <c r="E16" s="4" t="s">
        <v>235</v>
      </c>
      <c r="F16" s="4" t="s">
        <v>456</v>
      </c>
      <c r="G16" s="4" t="s">
        <v>352</v>
      </c>
      <c r="H16" s="4" t="s">
        <v>457</v>
      </c>
      <c r="I16" s="4"/>
      <c r="J16" s="4"/>
      <c r="K16" s="4"/>
      <c r="L16" s="4">
        <v>0</v>
      </c>
      <c r="M16" s="4" t="s">
        <v>431</v>
      </c>
      <c r="N16" s="4" t="s">
        <v>381</v>
      </c>
      <c r="O16" s="4">
        <v>0</v>
      </c>
      <c r="P16" s="4" t="s">
        <v>458</v>
      </c>
      <c r="Q16" s="4" t="s">
        <v>459</v>
      </c>
      <c r="R16" s="4"/>
      <c r="S16" s="4">
        <v>3</v>
      </c>
      <c r="T16" s="4"/>
      <c r="U16" s="4" t="s">
        <v>384</v>
      </c>
      <c r="V16" s="4"/>
      <c r="W16" s="4" t="s">
        <v>460</v>
      </c>
      <c r="X16" s="4" t="s">
        <v>461</v>
      </c>
      <c r="Y16" s="4" t="s">
        <v>462</v>
      </c>
      <c r="Z16" s="4"/>
      <c r="AA16" s="4"/>
      <c r="AB16" s="4"/>
      <c r="AC16" s="4"/>
      <c r="AD16" s="4" t="s">
        <v>359</v>
      </c>
      <c r="AE16" s="4"/>
      <c r="AF16" s="4"/>
      <c r="AG16" s="4"/>
      <c r="AH16" s="4"/>
      <c r="AI16" s="4"/>
      <c r="AJ16" s="4"/>
      <c r="AK16" s="4">
        <v>0</v>
      </c>
      <c r="AL16" s="4"/>
      <c r="AM16" s="4" t="s">
        <v>348</v>
      </c>
      <c r="AN16" s="4" t="s">
        <v>360</v>
      </c>
      <c r="AO16" s="4">
        <v>0</v>
      </c>
      <c r="AP16" s="4" t="s">
        <v>350</v>
      </c>
      <c r="AQ16" s="4">
        <v>5</v>
      </c>
    </row>
    <row r="17" spans="1:43" ht="391.5" x14ac:dyDescent="0.35">
      <c r="A17" t="s">
        <v>99</v>
      </c>
      <c r="B17" s="19" t="s">
        <v>301</v>
      </c>
      <c r="C17" s="19" t="s">
        <v>302</v>
      </c>
      <c r="D17" s="4" t="s">
        <v>100</v>
      </c>
      <c r="E17" s="4"/>
      <c r="F17" s="4"/>
      <c r="G17" s="4" t="s">
        <v>352</v>
      </c>
      <c r="H17" s="4"/>
      <c r="I17" s="4"/>
      <c r="J17" s="4" t="s">
        <v>343</v>
      </c>
      <c r="K17" s="4"/>
      <c r="L17" s="4">
        <v>0</v>
      </c>
      <c r="M17" s="4" t="s">
        <v>380</v>
      </c>
      <c r="N17" s="4" t="s">
        <v>364</v>
      </c>
      <c r="O17" s="4">
        <v>0</v>
      </c>
      <c r="P17" s="4" t="s">
        <v>463</v>
      </c>
      <c r="Q17" s="4" t="s">
        <v>464</v>
      </c>
      <c r="R17" s="4"/>
      <c r="S17" s="4">
        <v>0</v>
      </c>
      <c r="T17" s="4"/>
      <c r="U17" s="4" t="s">
        <v>373</v>
      </c>
      <c r="V17" s="4"/>
      <c r="W17" s="4"/>
      <c r="X17" s="4"/>
      <c r="Y17" s="4" t="s">
        <v>465</v>
      </c>
      <c r="Z17" s="4"/>
      <c r="AA17" s="4"/>
      <c r="AB17" s="4"/>
      <c r="AC17" s="4"/>
      <c r="AD17" s="4" t="s">
        <v>359</v>
      </c>
      <c r="AE17" s="4"/>
      <c r="AF17" s="4"/>
      <c r="AG17" s="4"/>
      <c r="AH17" s="4"/>
      <c r="AI17" s="4" t="s">
        <v>466</v>
      </c>
      <c r="AJ17" s="4"/>
      <c r="AK17" s="4">
        <v>0</v>
      </c>
      <c r="AL17" s="4"/>
      <c r="AM17" s="4" t="s">
        <v>348</v>
      </c>
      <c r="AN17" s="4" t="s">
        <v>360</v>
      </c>
      <c r="AO17" s="4">
        <v>1</v>
      </c>
      <c r="AP17" s="4" t="s">
        <v>350</v>
      </c>
      <c r="AQ17" s="4">
        <v>4</v>
      </c>
    </row>
    <row r="18" spans="1:43" ht="348" x14ac:dyDescent="0.35">
      <c r="A18" t="s">
        <v>104</v>
      </c>
      <c r="B18" s="19" t="s">
        <v>301</v>
      </c>
      <c r="C18" s="19" t="s">
        <v>302</v>
      </c>
      <c r="D18" s="4" t="s">
        <v>105</v>
      </c>
      <c r="E18" s="4" t="s">
        <v>351</v>
      </c>
      <c r="F18" s="4" t="s">
        <v>351</v>
      </c>
      <c r="G18" s="4" t="s">
        <v>362</v>
      </c>
      <c r="H18" s="4"/>
      <c r="I18" s="4"/>
      <c r="J18" s="4" t="s">
        <v>378</v>
      </c>
      <c r="K18" s="4"/>
      <c r="L18" s="4">
        <v>0</v>
      </c>
      <c r="M18" s="4" t="s">
        <v>380</v>
      </c>
      <c r="N18" s="4" t="s">
        <v>364</v>
      </c>
      <c r="O18" s="4">
        <v>0</v>
      </c>
      <c r="P18" s="4" t="s">
        <v>467</v>
      </c>
      <c r="Q18" s="4" t="s">
        <v>468</v>
      </c>
      <c r="R18" s="4"/>
      <c r="S18" s="4">
        <v>0</v>
      </c>
      <c r="T18" s="4">
        <v>2</v>
      </c>
      <c r="U18" s="4" t="s">
        <v>365</v>
      </c>
      <c r="V18" s="4"/>
      <c r="W18" s="4"/>
      <c r="X18" s="4"/>
      <c r="Y18" s="4" t="s">
        <v>469</v>
      </c>
      <c r="Z18" s="4"/>
      <c r="AA18" s="4"/>
      <c r="AB18" s="4"/>
      <c r="AC18" s="4"/>
      <c r="AD18" s="4" t="s">
        <v>359</v>
      </c>
      <c r="AE18" s="4"/>
      <c r="AF18" s="4"/>
      <c r="AG18" s="4"/>
      <c r="AH18" s="4"/>
      <c r="AI18" s="4"/>
      <c r="AJ18" s="4"/>
      <c r="AK18" s="4">
        <v>0</v>
      </c>
      <c r="AL18" s="4"/>
      <c r="AM18" s="4" t="s">
        <v>348</v>
      </c>
      <c r="AN18" s="4" t="s">
        <v>360</v>
      </c>
      <c r="AO18" s="4">
        <v>0</v>
      </c>
      <c r="AP18" s="4" t="s">
        <v>350</v>
      </c>
      <c r="AQ18" s="4">
        <v>5</v>
      </c>
    </row>
    <row r="19" spans="1:43" ht="409.5" x14ac:dyDescent="0.35">
      <c r="A19" t="s">
        <v>109</v>
      </c>
      <c r="B19" s="19" t="s">
        <v>301</v>
      </c>
      <c r="C19" s="19" t="s">
        <v>302</v>
      </c>
      <c r="D19" s="4" t="s">
        <v>110</v>
      </c>
      <c r="E19" s="4" t="s">
        <v>235</v>
      </c>
      <c r="F19" s="4" t="s">
        <v>376</v>
      </c>
      <c r="G19" s="4" t="s">
        <v>362</v>
      </c>
      <c r="H19" s="4"/>
      <c r="I19" s="4">
        <v>0</v>
      </c>
      <c r="J19" s="4"/>
      <c r="K19" s="4"/>
      <c r="L19" s="4">
        <v>0</v>
      </c>
      <c r="M19" s="4" t="s">
        <v>439</v>
      </c>
      <c r="N19" s="4" t="s">
        <v>364</v>
      </c>
      <c r="O19" s="4">
        <v>0</v>
      </c>
      <c r="P19" s="4" t="s">
        <v>470</v>
      </c>
      <c r="Q19" s="4" t="s">
        <v>471</v>
      </c>
      <c r="R19" s="4"/>
      <c r="S19" s="4">
        <v>2</v>
      </c>
      <c r="T19" s="4">
        <v>2</v>
      </c>
      <c r="U19" s="4" t="s">
        <v>365</v>
      </c>
      <c r="V19" s="4" t="s">
        <v>472</v>
      </c>
      <c r="W19" s="4"/>
      <c r="X19" s="4"/>
      <c r="Y19" s="4" t="s">
        <v>473</v>
      </c>
      <c r="Z19" s="4"/>
      <c r="AA19" s="4"/>
      <c r="AB19" s="4"/>
      <c r="AC19" s="4"/>
      <c r="AD19" s="4" t="s">
        <v>359</v>
      </c>
      <c r="AE19" s="4"/>
      <c r="AF19" s="4"/>
      <c r="AG19" s="4"/>
      <c r="AH19" s="4"/>
      <c r="AI19" s="4" t="s">
        <v>474</v>
      </c>
      <c r="AJ19" s="4"/>
      <c r="AK19" s="4">
        <v>0</v>
      </c>
      <c r="AL19" s="4"/>
      <c r="AM19" s="4" t="s">
        <v>348</v>
      </c>
      <c r="AN19" s="4" t="s">
        <v>360</v>
      </c>
      <c r="AO19" s="4">
        <v>0</v>
      </c>
      <c r="AP19" s="4" t="s">
        <v>350</v>
      </c>
      <c r="AQ19" s="4">
        <v>6</v>
      </c>
    </row>
    <row r="20" spans="1:43" ht="409.5" x14ac:dyDescent="0.35">
      <c r="A20" t="s">
        <v>114</v>
      </c>
      <c r="B20" s="19" t="s">
        <v>301</v>
      </c>
      <c r="C20" s="19" t="s">
        <v>302</v>
      </c>
      <c r="D20" s="4" t="s">
        <v>475</v>
      </c>
      <c r="E20" s="4"/>
      <c r="F20" s="4"/>
      <c r="G20" s="4"/>
      <c r="H20" s="4"/>
      <c r="I20" s="4"/>
      <c r="J20" s="4"/>
      <c r="K20" s="4"/>
      <c r="L20" s="4">
        <v>0</v>
      </c>
      <c r="M20" s="4" t="s">
        <v>354</v>
      </c>
      <c r="N20" s="4" t="s">
        <v>476</v>
      </c>
      <c r="O20" s="4">
        <v>1</v>
      </c>
      <c r="P20" s="4" t="s">
        <v>477</v>
      </c>
      <c r="Q20" s="4" t="s">
        <v>478</v>
      </c>
      <c r="R20" s="4" t="s">
        <v>479</v>
      </c>
      <c r="S20" s="4">
        <v>10</v>
      </c>
      <c r="T20" s="4"/>
      <c r="U20" s="4" t="s">
        <v>365</v>
      </c>
      <c r="V20" s="4" t="s">
        <v>480</v>
      </c>
      <c r="W20" s="4"/>
      <c r="X20" s="4"/>
      <c r="Y20" s="4" t="s">
        <v>481</v>
      </c>
      <c r="Z20" s="4"/>
      <c r="AA20" s="4"/>
      <c r="AB20" s="4"/>
      <c r="AC20" s="4"/>
      <c r="AD20" s="4"/>
      <c r="AE20" s="4"/>
      <c r="AF20" s="4"/>
      <c r="AG20" s="4"/>
      <c r="AH20" s="4"/>
      <c r="AI20" s="4" t="s">
        <v>482</v>
      </c>
      <c r="AJ20" s="4"/>
      <c r="AK20" s="4">
        <v>0</v>
      </c>
      <c r="AL20" s="4"/>
      <c r="AM20" s="4" t="s">
        <v>348</v>
      </c>
      <c r="AN20" s="4" t="s">
        <v>360</v>
      </c>
      <c r="AO20" s="4">
        <v>0</v>
      </c>
      <c r="AP20" s="4" t="s">
        <v>350</v>
      </c>
      <c r="AQ20" s="4">
        <v>6</v>
      </c>
    </row>
    <row r="21" spans="1:43" ht="409.5" x14ac:dyDescent="0.35">
      <c r="A21" t="s">
        <v>122</v>
      </c>
      <c r="B21" s="19" t="s">
        <v>301</v>
      </c>
      <c r="C21" s="19" t="s">
        <v>302</v>
      </c>
      <c r="D21" s="4" t="s">
        <v>123</v>
      </c>
      <c r="E21" s="4" t="s">
        <v>235</v>
      </c>
      <c r="F21" s="4" t="s">
        <v>483</v>
      </c>
      <c r="G21" s="4" t="s">
        <v>352</v>
      </c>
      <c r="H21" s="4"/>
      <c r="I21" s="4"/>
      <c r="J21" s="4" t="s">
        <v>484</v>
      </c>
      <c r="K21" s="4" t="s">
        <v>485</v>
      </c>
      <c r="L21" s="4">
        <v>0</v>
      </c>
      <c r="M21" s="4" t="s">
        <v>486</v>
      </c>
      <c r="N21" s="4" t="s">
        <v>476</v>
      </c>
      <c r="O21" s="4">
        <v>0</v>
      </c>
      <c r="P21" s="4" t="s">
        <v>487</v>
      </c>
      <c r="Q21" s="4" t="s">
        <v>488</v>
      </c>
      <c r="R21" s="4" t="s">
        <v>489</v>
      </c>
      <c r="S21" s="4">
        <v>7</v>
      </c>
      <c r="T21" s="4"/>
      <c r="U21" s="4" t="s">
        <v>365</v>
      </c>
      <c r="V21" s="4" t="s">
        <v>490</v>
      </c>
      <c r="W21" s="4"/>
      <c r="X21" s="4" t="s">
        <v>491</v>
      </c>
      <c r="Y21" s="4" t="s">
        <v>492</v>
      </c>
      <c r="Z21" s="4" t="s">
        <v>493</v>
      </c>
      <c r="AA21" s="4" t="s">
        <v>494</v>
      </c>
      <c r="AB21" s="4"/>
      <c r="AC21" s="4"/>
      <c r="AD21" s="4" t="s">
        <v>495</v>
      </c>
      <c r="AE21" s="4"/>
      <c r="AF21" s="4"/>
      <c r="AG21" s="4"/>
      <c r="AH21" s="4"/>
      <c r="AI21" s="4" t="s">
        <v>496</v>
      </c>
      <c r="AJ21" s="4"/>
      <c r="AK21" s="4">
        <v>0</v>
      </c>
      <c r="AL21" s="4"/>
      <c r="AM21" s="4" t="s">
        <v>348</v>
      </c>
      <c r="AN21" s="4" t="s">
        <v>360</v>
      </c>
      <c r="AO21" s="4">
        <v>0</v>
      </c>
      <c r="AP21" s="4" t="s">
        <v>350</v>
      </c>
      <c r="AQ21" s="4">
        <v>5</v>
      </c>
    </row>
    <row r="22" spans="1:43" ht="232" x14ac:dyDescent="0.35">
      <c r="A22" t="s">
        <v>128</v>
      </c>
      <c r="B22" s="19" t="s">
        <v>301</v>
      </c>
      <c r="C22" s="19" t="s">
        <v>302</v>
      </c>
      <c r="D22" s="4" t="s">
        <v>129</v>
      </c>
      <c r="E22" s="4"/>
      <c r="F22" s="4"/>
      <c r="G22" s="4"/>
      <c r="H22" s="4"/>
      <c r="I22" s="4"/>
      <c r="J22" s="4"/>
      <c r="K22" s="4" t="s">
        <v>497</v>
      </c>
      <c r="L22" s="4">
        <v>0</v>
      </c>
      <c r="M22" s="4" t="s">
        <v>380</v>
      </c>
      <c r="N22" s="4" t="s">
        <v>364</v>
      </c>
      <c r="O22" s="4">
        <v>0</v>
      </c>
      <c r="P22" s="4" t="s">
        <v>498</v>
      </c>
      <c r="Q22" s="4" t="s">
        <v>499</v>
      </c>
      <c r="R22" s="4"/>
      <c r="S22" s="4">
        <v>0</v>
      </c>
      <c r="T22" s="4"/>
      <c r="U22" s="4" t="s">
        <v>384</v>
      </c>
      <c r="V22" s="4" t="s">
        <v>500</v>
      </c>
      <c r="W22" s="4" t="s">
        <v>501</v>
      </c>
      <c r="X22" s="4"/>
      <c r="Y22" s="4" t="s">
        <v>502</v>
      </c>
      <c r="Z22" s="4"/>
      <c r="AA22" s="4"/>
      <c r="AB22" s="4"/>
      <c r="AC22" s="4"/>
      <c r="AD22" s="4"/>
      <c r="AE22" s="4"/>
      <c r="AF22" s="4"/>
      <c r="AG22" s="4"/>
      <c r="AH22" s="4"/>
      <c r="AI22" s="4"/>
      <c r="AJ22" s="4"/>
      <c r="AK22" s="4">
        <v>0</v>
      </c>
      <c r="AL22" s="4"/>
      <c r="AM22" s="4" t="s">
        <v>348</v>
      </c>
      <c r="AN22" s="4" t="s">
        <v>349</v>
      </c>
      <c r="AO22" s="4">
        <v>0</v>
      </c>
      <c r="AP22" s="4" t="s">
        <v>350</v>
      </c>
      <c r="AQ22" s="4">
        <v>5</v>
      </c>
    </row>
    <row r="23" spans="1:43" ht="58" x14ac:dyDescent="0.35">
      <c r="A23" t="s">
        <v>135</v>
      </c>
      <c r="B23" s="19" t="s">
        <v>301</v>
      </c>
      <c r="C23" s="19" t="s">
        <v>302</v>
      </c>
      <c r="D23" s="4" t="s">
        <v>503</v>
      </c>
      <c r="E23" s="4" t="s">
        <v>504</v>
      </c>
      <c r="F23" s="4" t="s">
        <v>503</v>
      </c>
      <c r="G23" s="4" t="s">
        <v>352</v>
      </c>
      <c r="H23" s="4" t="s">
        <v>505</v>
      </c>
      <c r="I23" s="4"/>
      <c r="J23" s="4" t="s">
        <v>353</v>
      </c>
      <c r="K23" s="4" t="s">
        <v>506</v>
      </c>
      <c r="L23" s="4">
        <v>0</v>
      </c>
      <c r="M23" s="4" t="s">
        <v>380</v>
      </c>
      <c r="N23" s="4" t="s">
        <v>476</v>
      </c>
      <c r="O23" s="4">
        <v>1</v>
      </c>
      <c r="P23" s="4" t="s">
        <v>507</v>
      </c>
      <c r="Q23" s="4"/>
      <c r="R23" s="4" t="s">
        <v>508</v>
      </c>
      <c r="S23" s="4">
        <v>35</v>
      </c>
      <c r="T23" s="4">
        <v>50</v>
      </c>
      <c r="U23" s="4" t="s">
        <v>384</v>
      </c>
      <c r="V23" s="4"/>
      <c r="W23" s="4"/>
      <c r="X23" s="4"/>
      <c r="Y23" s="4" t="s">
        <v>509</v>
      </c>
      <c r="Z23" s="4"/>
      <c r="AA23" s="4"/>
      <c r="AB23" s="4"/>
      <c r="AC23" s="4"/>
      <c r="AD23" s="4"/>
      <c r="AE23" s="4"/>
      <c r="AF23" s="4"/>
      <c r="AG23" s="4"/>
      <c r="AH23" s="4"/>
      <c r="AI23" s="4" t="s">
        <v>510</v>
      </c>
      <c r="AJ23" s="4"/>
      <c r="AK23" s="4">
        <v>0</v>
      </c>
      <c r="AL23" s="4"/>
      <c r="AM23" s="4" t="s">
        <v>348</v>
      </c>
      <c r="AN23" s="4" t="s">
        <v>349</v>
      </c>
      <c r="AO23" s="4">
        <v>1</v>
      </c>
      <c r="AP23" s="4" t="s">
        <v>350</v>
      </c>
      <c r="AQ23" s="4">
        <v>5</v>
      </c>
    </row>
    <row r="24" spans="1:43" ht="409.5" x14ac:dyDescent="0.35">
      <c r="A24" t="s">
        <v>141</v>
      </c>
      <c r="B24" s="19" t="s">
        <v>301</v>
      </c>
      <c r="C24" s="19" t="s">
        <v>302</v>
      </c>
      <c r="D24" s="4" t="s">
        <v>142</v>
      </c>
      <c r="E24" s="4"/>
      <c r="F24" s="4"/>
      <c r="G24" s="4" t="s">
        <v>362</v>
      </c>
      <c r="H24" s="4"/>
      <c r="I24" s="4"/>
      <c r="J24" s="4" t="s">
        <v>511</v>
      </c>
      <c r="K24" s="4"/>
      <c r="L24" s="4">
        <v>0</v>
      </c>
      <c r="M24" s="4" t="s">
        <v>439</v>
      </c>
      <c r="N24" s="4" t="s">
        <v>364</v>
      </c>
      <c r="O24" s="4">
        <v>0</v>
      </c>
      <c r="P24" s="4" t="s">
        <v>512</v>
      </c>
      <c r="Q24" s="4" t="s">
        <v>513</v>
      </c>
      <c r="R24" s="4"/>
      <c r="S24" s="4">
        <v>1</v>
      </c>
      <c r="T24" s="4"/>
      <c r="U24" s="4"/>
      <c r="V24" s="4"/>
      <c r="W24" s="4"/>
      <c r="X24" s="4" t="s">
        <v>514</v>
      </c>
      <c r="Y24" s="4" t="s">
        <v>515</v>
      </c>
      <c r="Z24" s="4"/>
      <c r="AA24" s="4" t="s">
        <v>514</v>
      </c>
      <c r="AB24" s="4"/>
      <c r="AC24" s="4"/>
      <c r="AD24" s="4" t="s">
        <v>359</v>
      </c>
      <c r="AE24" s="4"/>
      <c r="AF24" s="4"/>
      <c r="AG24" s="4"/>
      <c r="AH24" s="4"/>
      <c r="AI24" s="4" t="s">
        <v>516</v>
      </c>
      <c r="AJ24" s="4"/>
      <c r="AK24" s="4">
        <v>0</v>
      </c>
      <c r="AL24" s="4"/>
      <c r="AM24" s="4" t="s">
        <v>348</v>
      </c>
      <c r="AN24" s="4" t="s">
        <v>360</v>
      </c>
      <c r="AO24" s="4">
        <v>0</v>
      </c>
      <c r="AP24" s="4" t="s">
        <v>350</v>
      </c>
      <c r="AQ24" s="4">
        <v>6</v>
      </c>
    </row>
    <row r="25" spans="1:43" ht="232" x14ac:dyDescent="0.35">
      <c r="A25" t="s">
        <v>146</v>
      </c>
      <c r="B25" s="19" t="s">
        <v>301</v>
      </c>
      <c r="C25" s="19" t="s">
        <v>302</v>
      </c>
      <c r="D25" s="4" t="s">
        <v>517</v>
      </c>
      <c r="E25" s="4" t="s">
        <v>361</v>
      </c>
      <c r="F25" s="4"/>
      <c r="G25" s="4" t="s">
        <v>362</v>
      </c>
      <c r="H25" s="4"/>
      <c r="I25" s="4"/>
      <c r="J25" s="4" t="s">
        <v>518</v>
      </c>
      <c r="K25" s="4"/>
      <c r="L25" s="4">
        <v>1</v>
      </c>
      <c r="M25" s="4" t="s">
        <v>439</v>
      </c>
      <c r="N25" s="4" t="s">
        <v>364</v>
      </c>
      <c r="O25" s="4">
        <v>0</v>
      </c>
      <c r="P25" s="4" t="s">
        <v>519</v>
      </c>
      <c r="Q25" s="4" t="s">
        <v>520</v>
      </c>
      <c r="R25" s="4"/>
      <c r="S25" s="4">
        <v>0</v>
      </c>
      <c r="T25" s="4"/>
      <c r="U25" s="4" t="s">
        <v>384</v>
      </c>
      <c r="V25" s="4" t="s">
        <v>521</v>
      </c>
      <c r="W25" s="4"/>
      <c r="X25" s="4"/>
      <c r="Y25" s="4"/>
      <c r="Z25" s="4"/>
      <c r="AA25" s="4"/>
      <c r="AB25" s="4"/>
      <c r="AC25" s="4"/>
      <c r="AD25" s="4" t="s">
        <v>359</v>
      </c>
      <c r="AE25" s="4" t="s">
        <v>435</v>
      </c>
      <c r="AF25" s="4"/>
      <c r="AG25" s="4"/>
      <c r="AH25" s="4"/>
      <c r="AI25" s="4" t="s">
        <v>522</v>
      </c>
      <c r="AJ25" s="4">
        <v>1</v>
      </c>
      <c r="AK25" s="4">
        <v>0</v>
      </c>
      <c r="AL25" s="4"/>
      <c r="AM25" s="4" t="s">
        <v>348</v>
      </c>
      <c r="AN25" s="4" t="s">
        <v>360</v>
      </c>
      <c r="AO25" s="4">
        <v>0</v>
      </c>
      <c r="AP25" s="4" t="s">
        <v>350</v>
      </c>
      <c r="AQ25" s="4">
        <v>4</v>
      </c>
    </row>
    <row r="26" spans="1:43" ht="409.5" x14ac:dyDescent="0.35">
      <c r="A26" t="s">
        <v>151</v>
      </c>
      <c r="B26" s="19" t="s">
        <v>301</v>
      </c>
      <c r="C26" s="19" t="s">
        <v>302</v>
      </c>
      <c r="D26" s="4" t="s">
        <v>152</v>
      </c>
      <c r="E26" s="4"/>
      <c r="F26" s="4"/>
      <c r="G26" s="4" t="s">
        <v>352</v>
      </c>
      <c r="H26" s="4"/>
      <c r="I26" s="4"/>
      <c r="J26" s="4"/>
      <c r="K26" s="4"/>
      <c r="L26" s="4">
        <v>0</v>
      </c>
      <c r="M26" s="4" t="s">
        <v>439</v>
      </c>
      <c r="N26" s="4" t="s">
        <v>364</v>
      </c>
      <c r="O26" s="4">
        <v>0</v>
      </c>
      <c r="P26" s="4" t="s">
        <v>523</v>
      </c>
      <c r="Q26" s="4" t="s">
        <v>524</v>
      </c>
      <c r="R26" s="4"/>
      <c r="S26" s="4">
        <v>2</v>
      </c>
      <c r="T26" s="4"/>
      <c r="U26" s="4" t="s">
        <v>384</v>
      </c>
      <c r="V26" s="4" t="s">
        <v>525</v>
      </c>
      <c r="W26" s="4"/>
      <c r="X26" s="4" t="s">
        <v>526</v>
      </c>
      <c r="Y26" s="4" t="s">
        <v>527</v>
      </c>
      <c r="Z26" s="4" t="s">
        <v>528</v>
      </c>
      <c r="AA26" s="4"/>
      <c r="AB26" s="4"/>
      <c r="AC26" s="4"/>
      <c r="AD26" s="4" t="s">
        <v>359</v>
      </c>
      <c r="AE26" s="4"/>
      <c r="AF26" s="4"/>
      <c r="AG26" s="4"/>
      <c r="AH26" s="4"/>
      <c r="AI26" s="4" t="s">
        <v>529</v>
      </c>
      <c r="AJ26" s="4">
        <v>1</v>
      </c>
      <c r="AK26" s="4">
        <v>0</v>
      </c>
      <c r="AL26" s="4"/>
      <c r="AM26" s="4" t="s">
        <v>348</v>
      </c>
      <c r="AN26" s="4" t="s">
        <v>360</v>
      </c>
      <c r="AO26" s="4">
        <v>0</v>
      </c>
      <c r="AP26" s="4" t="s">
        <v>350</v>
      </c>
      <c r="AQ26" s="4">
        <v>6</v>
      </c>
    </row>
    <row r="27" spans="1:43" ht="409.5" x14ac:dyDescent="0.35">
      <c r="A27" t="s">
        <v>157</v>
      </c>
      <c r="B27" s="19" t="s">
        <v>301</v>
      </c>
      <c r="C27" s="19" t="s">
        <v>302</v>
      </c>
      <c r="D27" s="4" t="s">
        <v>158</v>
      </c>
      <c r="E27" s="4" t="s">
        <v>235</v>
      </c>
      <c r="F27" s="4" t="s">
        <v>376</v>
      </c>
      <c r="G27" s="4" t="s">
        <v>362</v>
      </c>
      <c r="H27" s="4"/>
      <c r="I27" s="4"/>
      <c r="J27" s="4" t="s">
        <v>438</v>
      </c>
      <c r="K27" s="4" t="s">
        <v>530</v>
      </c>
      <c r="L27" s="4">
        <v>0</v>
      </c>
      <c r="M27" s="4" t="s">
        <v>447</v>
      </c>
      <c r="N27" s="4" t="s">
        <v>364</v>
      </c>
      <c r="O27" s="4">
        <v>0</v>
      </c>
      <c r="P27" s="4" t="s">
        <v>531</v>
      </c>
      <c r="Q27" s="4" t="s">
        <v>532</v>
      </c>
      <c r="R27" s="4"/>
      <c r="S27" s="4">
        <v>7</v>
      </c>
      <c r="T27" s="4"/>
      <c r="U27" s="4" t="s">
        <v>365</v>
      </c>
      <c r="V27" s="4" t="s">
        <v>533</v>
      </c>
      <c r="W27" s="4"/>
      <c r="X27" s="4" t="s">
        <v>534</v>
      </c>
      <c r="Y27" s="4" t="s">
        <v>535</v>
      </c>
      <c r="Z27" s="4"/>
      <c r="AA27" s="4" t="s">
        <v>536</v>
      </c>
      <c r="AB27" s="4" t="s">
        <v>367</v>
      </c>
      <c r="AC27" s="4" t="s">
        <v>368</v>
      </c>
      <c r="AD27" s="4" t="s">
        <v>359</v>
      </c>
      <c r="AE27" s="4"/>
      <c r="AF27" s="4"/>
      <c r="AG27" s="4"/>
      <c r="AH27" s="4"/>
      <c r="AI27" s="4" t="s">
        <v>537</v>
      </c>
      <c r="AJ27" s="4">
        <v>1</v>
      </c>
      <c r="AK27" s="4">
        <v>0</v>
      </c>
      <c r="AL27" s="4"/>
      <c r="AM27" s="4" t="s">
        <v>348</v>
      </c>
      <c r="AN27" s="4" t="s">
        <v>360</v>
      </c>
      <c r="AO27" s="4">
        <v>0</v>
      </c>
      <c r="AP27" s="4" t="s">
        <v>350</v>
      </c>
      <c r="AQ27" s="4">
        <v>5</v>
      </c>
    </row>
    <row r="28" spans="1:43" ht="362.5" x14ac:dyDescent="0.35">
      <c r="A28" t="s">
        <v>163</v>
      </c>
      <c r="B28" s="19" t="s">
        <v>301</v>
      </c>
      <c r="C28" s="19" t="s">
        <v>302</v>
      </c>
      <c r="D28" s="4" t="s">
        <v>164</v>
      </c>
      <c r="E28" s="4" t="s">
        <v>235</v>
      </c>
      <c r="F28" s="4" t="s">
        <v>538</v>
      </c>
      <c r="G28" s="4" t="s">
        <v>352</v>
      </c>
      <c r="H28" s="4" t="s">
        <v>539</v>
      </c>
      <c r="I28" s="4"/>
      <c r="J28" s="4" t="s">
        <v>430</v>
      </c>
      <c r="K28" s="4"/>
      <c r="L28" s="4">
        <v>0</v>
      </c>
      <c r="M28" s="4" t="s">
        <v>354</v>
      </c>
      <c r="N28" s="4"/>
      <c r="O28" s="4">
        <v>1</v>
      </c>
      <c r="P28" s="4" t="s">
        <v>540</v>
      </c>
      <c r="Q28" s="4" t="s">
        <v>541</v>
      </c>
      <c r="R28" s="4"/>
      <c r="S28" s="4">
        <v>1</v>
      </c>
      <c r="T28" s="4"/>
      <c r="U28" s="4"/>
      <c r="V28" s="4"/>
      <c r="W28" s="4"/>
      <c r="X28" s="4"/>
      <c r="Y28" s="4"/>
      <c r="Z28" s="4"/>
      <c r="AA28" s="4" t="s">
        <v>542</v>
      </c>
      <c r="AB28" s="4"/>
      <c r="AC28" s="4"/>
      <c r="AD28" s="4" t="s">
        <v>359</v>
      </c>
      <c r="AE28" s="4"/>
      <c r="AF28" s="4"/>
      <c r="AG28" s="4"/>
      <c r="AH28" s="4"/>
      <c r="AI28" s="4"/>
      <c r="AJ28" s="4"/>
      <c r="AK28" s="4">
        <v>0</v>
      </c>
      <c r="AL28" s="4"/>
      <c r="AM28" s="4" t="s">
        <v>348</v>
      </c>
      <c r="AN28" s="4" t="s">
        <v>360</v>
      </c>
      <c r="AO28" s="4">
        <v>0</v>
      </c>
      <c r="AP28" s="4" t="s">
        <v>350</v>
      </c>
      <c r="AQ28" s="4">
        <v>5</v>
      </c>
    </row>
    <row r="29" spans="1:43" ht="188.5" x14ac:dyDescent="0.35">
      <c r="A29" t="s">
        <v>170</v>
      </c>
      <c r="B29" s="19" t="s">
        <v>301</v>
      </c>
      <c r="C29" s="19" t="s">
        <v>302</v>
      </c>
      <c r="D29" s="4" t="s">
        <v>171</v>
      </c>
      <c r="E29" s="4" t="s">
        <v>235</v>
      </c>
      <c r="F29" s="4" t="s">
        <v>543</v>
      </c>
      <c r="G29" s="4" t="s">
        <v>352</v>
      </c>
      <c r="H29" s="4"/>
      <c r="I29" s="4"/>
      <c r="J29" s="4" t="s">
        <v>392</v>
      </c>
      <c r="K29" s="4"/>
      <c r="L29" s="4">
        <v>0</v>
      </c>
      <c r="M29" s="4" t="s">
        <v>394</v>
      </c>
      <c r="N29" s="4" t="s">
        <v>381</v>
      </c>
      <c r="O29" s="4">
        <v>0</v>
      </c>
      <c r="P29" s="4" t="s">
        <v>544</v>
      </c>
      <c r="Q29" s="4" t="s">
        <v>545</v>
      </c>
      <c r="R29" s="4"/>
      <c r="S29" s="4">
        <v>1</v>
      </c>
      <c r="T29" s="4"/>
      <c r="U29" s="4" t="s">
        <v>365</v>
      </c>
      <c r="V29" s="4"/>
      <c r="W29" s="4" t="s">
        <v>546</v>
      </c>
      <c r="X29" s="4" t="s">
        <v>547</v>
      </c>
      <c r="Y29" s="4" t="s">
        <v>548</v>
      </c>
      <c r="Z29" s="4"/>
      <c r="AA29" s="4" t="s">
        <v>549</v>
      </c>
      <c r="AB29" s="4"/>
      <c r="AC29" s="4"/>
      <c r="AD29" s="4" t="s">
        <v>550</v>
      </c>
      <c r="AE29" s="4"/>
      <c r="AF29" s="4"/>
      <c r="AG29" s="4"/>
      <c r="AH29" s="4"/>
      <c r="AI29" s="4" t="s">
        <v>551</v>
      </c>
      <c r="AJ29" s="4"/>
      <c r="AK29" s="4">
        <v>0</v>
      </c>
      <c r="AL29" s="4"/>
      <c r="AM29" s="4" t="s">
        <v>348</v>
      </c>
      <c r="AN29" s="4" t="s">
        <v>360</v>
      </c>
      <c r="AO29" s="4">
        <v>0</v>
      </c>
      <c r="AP29" s="4" t="s">
        <v>350</v>
      </c>
      <c r="AQ29" s="4">
        <v>6</v>
      </c>
    </row>
    <row r="30" spans="1:43" ht="203" x14ac:dyDescent="0.35">
      <c r="A30" t="s">
        <v>177</v>
      </c>
      <c r="B30" s="19" t="s">
        <v>301</v>
      </c>
      <c r="C30" s="19" t="s">
        <v>302</v>
      </c>
      <c r="D30" s="4" t="s">
        <v>178</v>
      </c>
      <c r="E30" s="4"/>
      <c r="F30" s="4"/>
      <c r="G30" s="4" t="s">
        <v>352</v>
      </c>
      <c r="H30" s="4"/>
      <c r="I30" s="4"/>
      <c r="J30" s="4"/>
      <c r="K30" s="4"/>
      <c r="L30" s="4">
        <v>0</v>
      </c>
      <c r="M30" s="4" t="s">
        <v>354</v>
      </c>
      <c r="N30" s="4" t="s">
        <v>364</v>
      </c>
      <c r="O30" s="4">
        <v>0</v>
      </c>
      <c r="P30" s="4" t="s">
        <v>552</v>
      </c>
      <c r="Q30" s="4" t="s">
        <v>553</v>
      </c>
      <c r="R30" s="4"/>
      <c r="S30" s="4">
        <v>1</v>
      </c>
      <c r="T30" s="4"/>
      <c r="U30" s="4"/>
      <c r="V30" s="4"/>
      <c r="W30" s="4"/>
      <c r="X30" s="4"/>
      <c r="Y30" s="4"/>
      <c r="Z30" s="4"/>
      <c r="AA30" s="4"/>
      <c r="AB30" s="4"/>
      <c r="AC30" s="4"/>
      <c r="AD30" s="4" t="s">
        <v>359</v>
      </c>
      <c r="AE30" s="4"/>
      <c r="AF30" s="4"/>
      <c r="AG30" s="4"/>
      <c r="AH30" s="4"/>
      <c r="AI30" s="4"/>
      <c r="AJ30" s="4"/>
      <c r="AK30" s="4">
        <v>1</v>
      </c>
      <c r="AL30" s="4"/>
      <c r="AM30" s="4" t="s">
        <v>348</v>
      </c>
      <c r="AN30" s="4" t="s">
        <v>349</v>
      </c>
      <c r="AO30" s="4">
        <v>0</v>
      </c>
      <c r="AP30" s="4" t="s">
        <v>350</v>
      </c>
      <c r="AQ30" s="4">
        <v>6</v>
      </c>
    </row>
    <row r="31" spans="1:43" ht="72.5" x14ac:dyDescent="0.35">
      <c r="A31" t="s">
        <v>183</v>
      </c>
      <c r="B31" s="19" t="s">
        <v>301</v>
      </c>
      <c r="C31" s="19" t="s">
        <v>302</v>
      </c>
      <c r="D31" s="4" t="s">
        <v>184</v>
      </c>
      <c r="E31" s="4" t="s">
        <v>554</v>
      </c>
      <c r="F31" s="4" t="s">
        <v>555</v>
      </c>
      <c r="G31" s="4" t="s">
        <v>352</v>
      </c>
      <c r="H31" s="4" t="s">
        <v>556</v>
      </c>
      <c r="I31" s="4"/>
      <c r="J31" s="4" t="s">
        <v>557</v>
      </c>
      <c r="K31" s="4"/>
      <c r="L31" s="4">
        <v>0</v>
      </c>
      <c r="M31" s="4" t="s">
        <v>447</v>
      </c>
      <c r="N31" s="4" t="s">
        <v>364</v>
      </c>
      <c r="O31" s="4">
        <v>0</v>
      </c>
      <c r="P31" s="4" t="s">
        <v>558</v>
      </c>
      <c r="Q31" s="4"/>
      <c r="R31" s="4" t="s">
        <v>559</v>
      </c>
      <c r="S31" s="4">
        <v>1</v>
      </c>
      <c r="T31" s="4"/>
      <c r="U31" s="4"/>
      <c r="V31" s="4"/>
      <c r="W31" s="4"/>
      <c r="X31" s="4"/>
      <c r="Y31" s="4" t="s">
        <v>560</v>
      </c>
      <c r="Z31" s="4"/>
      <c r="AA31" s="4"/>
      <c r="AB31" s="4" t="s">
        <v>367</v>
      </c>
      <c r="AC31" s="4" t="s">
        <v>561</v>
      </c>
      <c r="AD31" s="4" t="s">
        <v>359</v>
      </c>
      <c r="AE31" s="4"/>
      <c r="AF31" s="4"/>
      <c r="AG31" s="4"/>
      <c r="AH31" s="4"/>
      <c r="AI31" s="4" t="s">
        <v>562</v>
      </c>
      <c r="AJ31" s="4"/>
      <c r="AK31" s="4">
        <v>0</v>
      </c>
      <c r="AL31" s="4"/>
      <c r="AM31" s="4" t="s">
        <v>348</v>
      </c>
      <c r="AN31" s="4" t="s">
        <v>360</v>
      </c>
      <c r="AO31" s="4">
        <v>0</v>
      </c>
      <c r="AP31" s="4" t="s">
        <v>350</v>
      </c>
      <c r="AQ31" s="4">
        <v>5</v>
      </c>
    </row>
    <row r="32" spans="1:43" ht="409.5" x14ac:dyDescent="0.35">
      <c r="A32" t="s">
        <v>190</v>
      </c>
      <c r="B32" s="19" t="s">
        <v>301</v>
      </c>
      <c r="C32" s="19" t="s">
        <v>302</v>
      </c>
      <c r="D32" s="4" t="s">
        <v>191</v>
      </c>
      <c r="E32" s="4"/>
      <c r="F32" s="4"/>
      <c r="G32" s="4"/>
      <c r="H32" s="4"/>
      <c r="I32" s="4"/>
      <c r="J32" s="4"/>
      <c r="K32" s="4"/>
      <c r="L32" s="4">
        <v>0</v>
      </c>
      <c r="M32" s="4" t="s">
        <v>354</v>
      </c>
      <c r="N32" s="4" t="s">
        <v>381</v>
      </c>
      <c r="O32" s="4">
        <v>0</v>
      </c>
      <c r="P32" s="4" t="s">
        <v>563</v>
      </c>
      <c r="Q32" s="4" t="s">
        <v>564</v>
      </c>
      <c r="R32" s="4"/>
      <c r="S32" s="4">
        <v>1</v>
      </c>
      <c r="T32" s="4"/>
      <c r="U32" s="4" t="s">
        <v>373</v>
      </c>
      <c r="V32" s="4"/>
      <c r="W32" s="4"/>
      <c r="X32" s="4" t="s">
        <v>565</v>
      </c>
      <c r="Y32" s="4"/>
      <c r="Z32" s="4"/>
      <c r="AA32" s="4"/>
      <c r="AB32" s="4"/>
      <c r="AC32" s="4"/>
      <c r="AD32" s="4"/>
      <c r="AE32" s="4"/>
      <c r="AF32" s="4"/>
      <c r="AG32" s="4"/>
      <c r="AH32" s="4"/>
      <c r="AI32" s="4"/>
      <c r="AJ32" s="4"/>
      <c r="AK32" s="4">
        <v>0</v>
      </c>
      <c r="AL32" s="4"/>
      <c r="AM32" s="4" t="s">
        <v>348</v>
      </c>
      <c r="AN32" s="4" t="s">
        <v>349</v>
      </c>
      <c r="AO32" s="4">
        <v>0</v>
      </c>
      <c r="AP32" s="4" t="s">
        <v>350</v>
      </c>
      <c r="AQ32" s="4">
        <v>5</v>
      </c>
    </row>
    <row r="33" spans="1:43" ht="304.5" x14ac:dyDescent="0.35">
      <c r="A33" t="s">
        <v>197</v>
      </c>
      <c r="B33" s="19" t="s">
        <v>301</v>
      </c>
      <c r="C33" s="19" t="s">
        <v>302</v>
      </c>
      <c r="D33" s="4" t="s">
        <v>198</v>
      </c>
      <c r="E33" s="4" t="s">
        <v>235</v>
      </c>
      <c r="F33" s="4" t="s">
        <v>566</v>
      </c>
      <c r="G33" s="4" t="s">
        <v>352</v>
      </c>
      <c r="H33" s="4"/>
      <c r="I33" s="4"/>
      <c r="J33" s="4" t="s">
        <v>343</v>
      </c>
      <c r="K33" s="4"/>
      <c r="L33" s="4">
        <v>0</v>
      </c>
      <c r="M33" s="4" t="s">
        <v>439</v>
      </c>
      <c r="N33" s="4" t="s">
        <v>381</v>
      </c>
      <c r="O33" s="4">
        <v>1</v>
      </c>
      <c r="P33" s="4" t="s">
        <v>567</v>
      </c>
      <c r="Q33" s="4" t="s">
        <v>568</v>
      </c>
      <c r="R33" s="4"/>
      <c r="S33" s="4">
        <v>1</v>
      </c>
      <c r="T33" s="4"/>
      <c r="U33" s="4" t="s">
        <v>373</v>
      </c>
      <c r="V33" s="4"/>
      <c r="W33" s="4"/>
      <c r="X33" s="4" t="s">
        <v>569</v>
      </c>
      <c r="Y33" s="4" t="s">
        <v>570</v>
      </c>
      <c r="Z33" s="4"/>
      <c r="AA33" s="4"/>
      <c r="AB33" s="4"/>
      <c r="AC33" s="4"/>
      <c r="AD33" s="4" t="s">
        <v>359</v>
      </c>
      <c r="AE33" s="4"/>
      <c r="AF33" s="4"/>
      <c r="AG33" s="4"/>
      <c r="AH33" s="4"/>
      <c r="AI33" s="4"/>
      <c r="AJ33" s="4"/>
      <c r="AK33" s="4">
        <v>0</v>
      </c>
      <c r="AL33" s="4"/>
      <c r="AM33" s="4" t="s">
        <v>348</v>
      </c>
      <c r="AN33" s="4" t="s">
        <v>360</v>
      </c>
      <c r="AO33" s="4">
        <v>0</v>
      </c>
      <c r="AP33" s="4" t="s">
        <v>350</v>
      </c>
      <c r="AQ33" s="4">
        <v>6</v>
      </c>
    </row>
    <row r="34" spans="1:43" ht="409.5" x14ac:dyDescent="0.35">
      <c r="A34" t="s">
        <v>203</v>
      </c>
      <c r="B34" s="19" t="s">
        <v>301</v>
      </c>
      <c r="C34" s="19" t="s">
        <v>302</v>
      </c>
      <c r="D34" s="4" t="s">
        <v>204</v>
      </c>
      <c r="E34" s="4" t="s">
        <v>235</v>
      </c>
      <c r="F34" s="4" t="s">
        <v>571</v>
      </c>
      <c r="G34" s="4" t="s">
        <v>352</v>
      </c>
      <c r="H34" s="4"/>
      <c r="I34" s="4"/>
      <c r="J34" s="4" t="s">
        <v>430</v>
      </c>
      <c r="K34" s="4"/>
      <c r="L34" s="4">
        <v>0</v>
      </c>
      <c r="M34" s="4" t="s">
        <v>354</v>
      </c>
      <c r="N34" s="4"/>
      <c r="O34" s="4">
        <v>0</v>
      </c>
      <c r="P34" s="4" t="s">
        <v>572</v>
      </c>
      <c r="Q34" s="4" t="s">
        <v>573</v>
      </c>
      <c r="R34" s="4"/>
      <c r="S34" s="4">
        <v>2</v>
      </c>
      <c r="T34" s="4"/>
      <c r="U34" s="4"/>
      <c r="V34" s="4"/>
      <c r="W34" s="4"/>
      <c r="X34" s="4" t="s">
        <v>574</v>
      </c>
      <c r="Y34" s="4" t="s">
        <v>575</v>
      </c>
      <c r="Z34" s="4"/>
      <c r="AA34" s="4"/>
      <c r="AB34" s="4"/>
      <c r="AC34" s="4"/>
      <c r="AD34" s="4" t="s">
        <v>359</v>
      </c>
      <c r="AE34" s="4"/>
      <c r="AF34" s="4"/>
      <c r="AG34" s="4"/>
      <c r="AH34" s="4"/>
      <c r="AI34" s="4"/>
      <c r="AJ34" s="4"/>
      <c r="AK34" s="4">
        <v>1</v>
      </c>
      <c r="AL34" s="4"/>
      <c r="AM34" s="4" t="s">
        <v>348</v>
      </c>
      <c r="AN34" s="4" t="s">
        <v>360</v>
      </c>
      <c r="AO34" s="4">
        <v>0</v>
      </c>
      <c r="AP34" s="4" t="s">
        <v>350</v>
      </c>
      <c r="AQ34" s="4">
        <v>5</v>
      </c>
    </row>
    <row r="35" spans="1:43" ht="290" x14ac:dyDescent="0.35">
      <c r="A35" t="s">
        <v>209</v>
      </c>
      <c r="B35" s="19" t="s">
        <v>301</v>
      </c>
      <c r="C35" s="19" t="s">
        <v>302</v>
      </c>
      <c r="D35" s="4" t="s">
        <v>576</v>
      </c>
      <c r="E35" s="4" t="s">
        <v>235</v>
      </c>
      <c r="F35" s="4" t="s">
        <v>577</v>
      </c>
      <c r="G35" s="4" t="s">
        <v>352</v>
      </c>
      <c r="H35" s="4" t="s">
        <v>578</v>
      </c>
      <c r="I35" s="4"/>
      <c r="J35" s="4" t="s">
        <v>414</v>
      </c>
      <c r="K35" s="4"/>
      <c r="L35" s="4">
        <v>0</v>
      </c>
      <c r="M35" s="4" t="s">
        <v>354</v>
      </c>
      <c r="N35" s="4" t="s">
        <v>364</v>
      </c>
      <c r="O35" s="4">
        <v>0</v>
      </c>
      <c r="P35" s="4" t="s">
        <v>579</v>
      </c>
      <c r="Q35" s="4" t="s">
        <v>580</v>
      </c>
      <c r="R35" s="4"/>
      <c r="S35" s="4">
        <v>20</v>
      </c>
      <c r="T35" s="4">
        <v>45</v>
      </c>
      <c r="U35" s="4" t="s">
        <v>373</v>
      </c>
      <c r="V35" s="4"/>
      <c r="W35" s="4"/>
      <c r="X35" s="4"/>
      <c r="Y35" s="4"/>
      <c r="Z35" s="4"/>
      <c r="AA35" s="4" t="s">
        <v>581</v>
      </c>
      <c r="AB35" s="4"/>
      <c r="AC35" s="4"/>
      <c r="AD35" s="4" t="s">
        <v>359</v>
      </c>
      <c r="AE35" s="4" t="s">
        <v>435</v>
      </c>
      <c r="AF35" s="4"/>
      <c r="AG35" s="4"/>
      <c r="AH35" s="4"/>
      <c r="AI35" s="4"/>
      <c r="AJ35" s="4"/>
      <c r="AK35" s="4">
        <v>0</v>
      </c>
      <c r="AL35" s="4"/>
      <c r="AM35" s="4" t="s">
        <v>348</v>
      </c>
      <c r="AN35" s="4" t="s">
        <v>349</v>
      </c>
      <c r="AO35" s="4">
        <v>1</v>
      </c>
      <c r="AP35" s="4" t="s">
        <v>350</v>
      </c>
      <c r="AQ35" s="4">
        <v>5</v>
      </c>
    </row>
    <row r="36" spans="1:43" ht="409.5" x14ac:dyDescent="0.35">
      <c r="A36" t="s">
        <v>214</v>
      </c>
      <c r="B36" s="19" t="s">
        <v>301</v>
      </c>
      <c r="C36" s="19" t="s">
        <v>302</v>
      </c>
      <c r="D36" s="4" t="s">
        <v>582</v>
      </c>
      <c r="E36" s="4" t="s">
        <v>235</v>
      </c>
      <c r="F36" s="4" t="s">
        <v>583</v>
      </c>
      <c r="G36" s="4" t="s">
        <v>352</v>
      </c>
      <c r="H36" s="4" t="s">
        <v>584</v>
      </c>
      <c r="I36" s="4"/>
      <c r="J36" s="4" t="s">
        <v>353</v>
      </c>
      <c r="K36" s="4" t="s">
        <v>585</v>
      </c>
      <c r="L36" s="4">
        <v>0</v>
      </c>
      <c r="M36" s="4" t="s">
        <v>354</v>
      </c>
      <c r="N36" s="4" t="s">
        <v>364</v>
      </c>
      <c r="O36" s="4">
        <v>0</v>
      </c>
      <c r="P36" s="4" t="s">
        <v>586</v>
      </c>
      <c r="Q36" s="4" t="s">
        <v>587</v>
      </c>
      <c r="R36" s="4"/>
      <c r="S36" s="4">
        <v>1</v>
      </c>
      <c r="T36" s="4"/>
      <c r="U36" s="4" t="s">
        <v>373</v>
      </c>
      <c r="V36" s="4"/>
      <c r="W36" s="4"/>
      <c r="X36" s="4"/>
      <c r="Y36" s="4"/>
      <c r="Z36" s="4"/>
      <c r="AA36" s="4"/>
      <c r="AB36" s="4"/>
      <c r="AC36" s="4"/>
      <c r="AD36" s="4" t="s">
        <v>359</v>
      </c>
      <c r="AE36" s="4"/>
      <c r="AF36" s="4"/>
      <c r="AG36" s="4"/>
      <c r="AH36" s="4"/>
      <c r="AI36" s="4"/>
      <c r="AJ36" s="4"/>
      <c r="AK36" s="4">
        <v>0</v>
      </c>
      <c r="AL36" s="4"/>
      <c r="AM36" s="4" t="s">
        <v>348</v>
      </c>
      <c r="AN36" s="4" t="s">
        <v>360</v>
      </c>
      <c r="AO36" s="4">
        <v>0</v>
      </c>
      <c r="AP36" s="4" t="s">
        <v>350</v>
      </c>
      <c r="AQ36" s="4">
        <v>6</v>
      </c>
    </row>
    <row r="37" spans="1:43" ht="409.5" x14ac:dyDescent="0.35">
      <c r="A37" t="s">
        <v>220</v>
      </c>
      <c r="B37" s="19" t="s">
        <v>301</v>
      </c>
      <c r="C37" s="19" t="s">
        <v>302</v>
      </c>
      <c r="D37" s="4" t="s">
        <v>221</v>
      </c>
      <c r="E37" s="4" t="s">
        <v>235</v>
      </c>
      <c r="F37" s="4" t="s">
        <v>588</v>
      </c>
      <c r="G37" s="4" t="s">
        <v>352</v>
      </c>
      <c r="H37" s="4" t="s">
        <v>589</v>
      </c>
      <c r="I37" s="4"/>
      <c r="J37" s="4" t="s">
        <v>518</v>
      </c>
      <c r="K37" s="4"/>
      <c r="L37" s="4">
        <v>0</v>
      </c>
      <c r="M37" s="4" t="s">
        <v>354</v>
      </c>
      <c r="N37" s="4" t="s">
        <v>364</v>
      </c>
      <c r="O37" s="4">
        <v>0</v>
      </c>
      <c r="P37" s="4" t="s">
        <v>590</v>
      </c>
      <c r="Q37" s="4" t="s">
        <v>591</v>
      </c>
      <c r="R37" s="4"/>
      <c r="S37" s="4">
        <v>1</v>
      </c>
      <c r="T37" s="4"/>
      <c r="U37" s="4" t="s">
        <v>373</v>
      </c>
      <c r="V37" s="4"/>
      <c r="W37" s="4"/>
      <c r="X37" s="4"/>
      <c r="Y37" s="4"/>
      <c r="Z37" s="4"/>
      <c r="AA37" s="4"/>
      <c r="AB37" s="4"/>
      <c r="AC37" s="4"/>
      <c r="AD37" s="4" t="s">
        <v>359</v>
      </c>
      <c r="AE37" s="4" t="s">
        <v>435</v>
      </c>
      <c r="AF37" s="4"/>
      <c r="AG37" s="4"/>
      <c r="AH37" s="4"/>
      <c r="AI37" s="4"/>
      <c r="AJ37" s="4"/>
      <c r="AK37" s="4">
        <v>0</v>
      </c>
      <c r="AL37" s="4"/>
      <c r="AM37" s="4" t="s">
        <v>348</v>
      </c>
      <c r="AN37" s="4" t="s">
        <v>360</v>
      </c>
      <c r="AO37" s="4">
        <v>0</v>
      </c>
      <c r="AP37" s="4" t="s">
        <v>350</v>
      </c>
      <c r="AQ37" s="4">
        <v>6</v>
      </c>
    </row>
    <row r="38" spans="1:43" ht="409.5" x14ac:dyDescent="0.35">
      <c r="A38" t="s">
        <v>225</v>
      </c>
      <c r="B38" s="19" t="s">
        <v>301</v>
      </c>
      <c r="C38" s="19" t="s">
        <v>302</v>
      </c>
      <c r="D38" s="4" t="s">
        <v>226</v>
      </c>
      <c r="E38" s="4"/>
      <c r="F38" s="4"/>
      <c r="G38" s="4"/>
      <c r="H38" s="4"/>
      <c r="I38" s="4"/>
      <c r="J38" s="4"/>
      <c r="K38" s="4"/>
      <c r="L38" s="4">
        <v>0</v>
      </c>
      <c r="M38" s="4" t="s">
        <v>439</v>
      </c>
      <c r="N38" s="4" t="s">
        <v>364</v>
      </c>
      <c r="O38" s="4"/>
      <c r="P38" s="4" t="s">
        <v>592</v>
      </c>
      <c r="Q38" s="4" t="s">
        <v>593</v>
      </c>
      <c r="R38" s="4"/>
      <c r="S38" s="4">
        <v>1</v>
      </c>
      <c r="T38" s="4"/>
      <c r="U38" s="4"/>
      <c r="V38" s="4"/>
      <c r="W38" s="4"/>
      <c r="X38" s="4" t="s">
        <v>594</v>
      </c>
      <c r="Y38" s="4" t="s">
        <v>595</v>
      </c>
      <c r="Z38" s="4"/>
      <c r="AA38" s="4" t="s">
        <v>596</v>
      </c>
      <c r="AB38" s="4"/>
      <c r="AC38" s="4"/>
      <c r="AD38" s="4"/>
      <c r="AE38" s="4"/>
      <c r="AF38" s="4"/>
      <c r="AG38" s="4"/>
      <c r="AH38" s="4"/>
      <c r="AI38" s="4"/>
      <c r="AJ38" s="4"/>
      <c r="AK38" s="4">
        <v>0</v>
      </c>
      <c r="AL38" s="4"/>
      <c r="AM38" s="4" t="s">
        <v>348</v>
      </c>
      <c r="AN38" s="4" t="s">
        <v>349</v>
      </c>
      <c r="AO38" s="4">
        <v>0</v>
      </c>
      <c r="AP38" s="4" t="s">
        <v>350</v>
      </c>
      <c r="AQ38" s="4">
        <v>6</v>
      </c>
    </row>
    <row r="39" spans="1:43" ht="409.5" x14ac:dyDescent="0.35">
      <c r="A39" t="s">
        <v>232</v>
      </c>
      <c r="B39" s="19" t="s">
        <v>301</v>
      </c>
      <c r="C39" s="19" t="s">
        <v>302</v>
      </c>
      <c r="D39" s="4" t="s">
        <v>233</v>
      </c>
      <c r="E39" s="4"/>
      <c r="F39" s="4"/>
      <c r="G39" s="4" t="s">
        <v>597</v>
      </c>
      <c r="H39" s="4"/>
      <c r="I39" s="4">
        <v>0</v>
      </c>
      <c r="J39" s="4" t="s">
        <v>378</v>
      </c>
      <c r="K39" s="4"/>
      <c r="L39" s="4">
        <v>0</v>
      </c>
      <c r="M39" s="4" t="s">
        <v>598</v>
      </c>
      <c r="N39" s="4" t="s">
        <v>599</v>
      </c>
      <c r="O39" s="4">
        <v>1</v>
      </c>
      <c r="P39" s="4" t="s">
        <v>233</v>
      </c>
      <c r="Q39" s="4" t="s">
        <v>600</v>
      </c>
      <c r="R39" s="4" t="s">
        <v>601</v>
      </c>
      <c r="S39" s="4">
        <v>4</v>
      </c>
      <c r="T39" s="4"/>
      <c r="U39" s="4" t="s">
        <v>384</v>
      </c>
      <c r="V39" s="4"/>
      <c r="W39" s="4"/>
      <c r="X39" s="4" t="s">
        <v>602</v>
      </c>
      <c r="Y39" s="4"/>
      <c r="Z39" s="4" t="s">
        <v>603</v>
      </c>
      <c r="AA39" s="4"/>
      <c r="AB39" s="4"/>
      <c r="AC39" s="4"/>
      <c r="AD39" s="4" t="s">
        <v>359</v>
      </c>
      <c r="AE39" s="4"/>
      <c r="AF39" s="4"/>
      <c r="AG39" s="4"/>
      <c r="AH39" s="4"/>
      <c r="AI39" s="4" t="s">
        <v>604</v>
      </c>
      <c r="AJ39" s="4"/>
      <c r="AK39" s="4">
        <v>0</v>
      </c>
      <c r="AL39" s="4"/>
      <c r="AM39" s="4" t="s">
        <v>348</v>
      </c>
      <c r="AN39" s="4" t="s">
        <v>360</v>
      </c>
      <c r="AO39" s="4">
        <v>0</v>
      </c>
      <c r="AP39" s="4" t="s">
        <v>350</v>
      </c>
      <c r="AQ39" s="4">
        <v>6</v>
      </c>
    </row>
    <row r="40" spans="1:43" ht="409.5" x14ac:dyDescent="0.35">
      <c r="A40" t="s">
        <v>239</v>
      </c>
      <c r="B40" s="19" t="s">
        <v>301</v>
      </c>
      <c r="C40" s="19" t="s">
        <v>302</v>
      </c>
      <c r="D40" s="4" t="s">
        <v>240</v>
      </c>
      <c r="E40" s="4" t="s">
        <v>361</v>
      </c>
      <c r="F40" s="4"/>
      <c r="G40" s="4" t="s">
        <v>362</v>
      </c>
      <c r="H40" s="4"/>
      <c r="I40" s="4"/>
      <c r="J40" s="4" t="s">
        <v>605</v>
      </c>
      <c r="K40" s="4"/>
      <c r="L40" s="4">
        <v>0</v>
      </c>
      <c r="M40" s="4" t="s">
        <v>439</v>
      </c>
      <c r="N40" s="4" t="s">
        <v>364</v>
      </c>
      <c r="O40" s="4">
        <v>0</v>
      </c>
      <c r="P40" s="4" t="s">
        <v>606</v>
      </c>
      <c r="Q40" s="4" t="s">
        <v>607</v>
      </c>
      <c r="R40" s="4"/>
      <c r="S40" s="4">
        <v>0</v>
      </c>
      <c r="T40" s="4"/>
      <c r="U40" s="4"/>
      <c r="V40" s="4"/>
      <c r="W40" s="4"/>
      <c r="X40" s="4" t="s">
        <v>608</v>
      </c>
      <c r="Y40" s="4" t="s">
        <v>609</v>
      </c>
      <c r="Z40" s="4"/>
      <c r="AA40" s="4"/>
      <c r="AB40" s="4"/>
      <c r="AC40" s="4"/>
      <c r="AD40" s="4" t="s">
        <v>359</v>
      </c>
      <c r="AE40" s="4"/>
      <c r="AF40" s="4"/>
      <c r="AG40" s="4"/>
      <c r="AH40" s="4"/>
      <c r="AI40" s="4"/>
      <c r="AJ40" s="4"/>
      <c r="AK40" s="4">
        <v>0</v>
      </c>
      <c r="AL40" s="4"/>
      <c r="AM40" s="4" t="s">
        <v>348</v>
      </c>
      <c r="AN40" s="4" t="s">
        <v>360</v>
      </c>
      <c r="AO40" s="4">
        <v>0</v>
      </c>
      <c r="AP40" s="4" t="s">
        <v>350</v>
      </c>
      <c r="AQ40" s="4">
        <v>4</v>
      </c>
    </row>
    <row r="41" spans="1:43" ht="409.5" x14ac:dyDescent="0.35">
      <c r="A41" t="s">
        <v>244</v>
      </c>
      <c r="B41" s="19" t="s">
        <v>301</v>
      </c>
      <c r="C41" s="19" t="s">
        <v>302</v>
      </c>
      <c r="D41" s="4" t="s">
        <v>245</v>
      </c>
      <c r="E41" s="4"/>
      <c r="F41" s="4"/>
      <c r="G41" s="4"/>
      <c r="H41" s="4"/>
      <c r="I41" s="4"/>
      <c r="J41" s="4" t="s">
        <v>378</v>
      </c>
      <c r="K41" s="4"/>
      <c r="L41" s="4">
        <v>0</v>
      </c>
      <c r="M41" s="4" t="s">
        <v>486</v>
      </c>
      <c r="N41" s="4"/>
      <c r="O41" s="4"/>
      <c r="P41" s="4" t="s">
        <v>610</v>
      </c>
      <c r="Q41" s="4" t="s">
        <v>611</v>
      </c>
      <c r="R41" s="4" t="s">
        <v>612</v>
      </c>
      <c r="S41" s="4">
        <v>1</v>
      </c>
      <c r="T41" s="4"/>
      <c r="U41" s="4"/>
      <c r="V41" s="4"/>
      <c r="W41" s="4"/>
      <c r="X41" s="4" t="s">
        <v>613</v>
      </c>
      <c r="Y41" s="4" t="s">
        <v>614</v>
      </c>
      <c r="Z41" s="4"/>
      <c r="AA41" s="4" t="s">
        <v>613</v>
      </c>
      <c r="AB41" s="4"/>
      <c r="AC41" s="4"/>
      <c r="AD41" s="4"/>
      <c r="AE41" s="4"/>
      <c r="AF41" s="4"/>
      <c r="AG41" s="4"/>
      <c r="AH41" s="4"/>
      <c r="AI41" s="4"/>
      <c r="AJ41" s="4"/>
      <c r="AK41" s="4">
        <v>0</v>
      </c>
      <c r="AL41" s="4"/>
      <c r="AM41" s="4" t="s">
        <v>348</v>
      </c>
      <c r="AN41" s="4" t="s">
        <v>360</v>
      </c>
      <c r="AO41" s="4">
        <v>0</v>
      </c>
      <c r="AP41" s="4" t="s">
        <v>350</v>
      </c>
      <c r="AQ41" s="4">
        <v>5</v>
      </c>
    </row>
    <row r="42" spans="1:43" ht="116" x14ac:dyDescent="0.35">
      <c r="A42" t="s">
        <v>250</v>
      </c>
      <c r="B42" s="19" t="s">
        <v>301</v>
      </c>
      <c r="C42" s="19" t="s">
        <v>302</v>
      </c>
      <c r="D42" s="4"/>
      <c r="E42" s="4"/>
      <c r="F42" s="4"/>
      <c r="G42" s="4" t="s">
        <v>597</v>
      </c>
      <c r="H42" s="4"/>
      <c r="I42" s="4"/>
      <c r="J42" s="4" t="s">
        <v>518</v>
      </c>
      <c r="K42" s="4"/>
      <c r="L42" s="4">
        <v>0</v>
      </c>
      <c r="M42" s="4" t="s">
        <v>380</v>
      </c>
      <c r="N42" s="4" t="s">
        <v>364</v>
      </c>
      <c r="O42" s="4">
        <v>0</v>
      </c>
      <c r="P42" s="4" t="s">
        <v>615</v>
      </c>
      <c r="Q42" s="4" t="s">
        <v>616</v>
      </c>
      <c r="R42" s="4"/>
      <c r="S42" s="4">
        <v>1</v>
      </c>
      <c r="T42" s="4"/>
      <c r="U42" s="4"/>
      <c r="V42" s="4"/>
      <c r="W42" s="4"/>
      <c r="X42" s="4"/>
      <c r="Y42" s="4" t="s">
        <v>462</v>
      </c>
      <c r="Z42" s="4"/>
      <c r="AA42" s="4"/>
      <c r="AB42" s="4"/>
      <c r="AC42" s="4"/>
      <c r="AD42" s="4" t="s">
        <v>359</v>
      </c>
      <c r="AE42" s="4"/>
      <c r="AF42" s="4"/>
      <c r="AG42" s="4"/>
      <c r="AH42" s="4"/>
      <c r="AI42" s="4" t="s">
        <v>617</v>
      </c>
      <c r="AJ42" s="4"/>
      <c r="AK42" s="4">
        <v>0</v>
      </c>
      <c r="AL42" s="4"/>
      <c r="AM42" s="4" t="s">
        <v>348</v>
      </c>
      <c r="AN42" s="4" t="s">
        <v>349</v>
      </c>
      <c r="AO42" s="4">
        <v>0</v>
      </c>
      <c r="AP42" s="4" t="s">
        <v>350</v>
      </c>
      <c r="AQ42" s="4"/>
    </row>
    <row r="43" spans="1:43" ht="409.5" x14ac:dyDescent="0.35">
      <c r="A43" t="s">
        <v>257</v>
      </c>
      <c r="B43" s="19" t="s">
        <v>301</v>
      </c>
      <c r="C43" s="19" t="s">
        <v>302</v>
      </c>
      <c r="D43" s="4"/>
      <c r="E43" s="4" t="s">
        <v>235</v>
      </c>
      <c r="F43" s="4"/>
      <c r="G43" s="4" t="s">
        <v>352</v>
      </c>
      <c r="H43" s="4"/>
      <c r="I43" s="4"/>
      <c r="J43" s="4" t="s">
        <v>518</v>
      </c>
      <c r="K43" s="4"/>
      <c r="L43" s="4">
        <v>1</v>
      </c>
      <c r="M43" s="4" t="s">
        <v>380</v>
      </c>
      <c r="N43" s="4" t="s">
        <v>364</v>
      </c>
      <c r="O43" s="4"/>
      <c r="P43" s="4" t="s">
        <v>618</v>
      </c>
      <c r="Q43" s="4" t="s">
        <v>619</v>
      </c>
      <c r="R43" s="4"/>
      <c r="S43" s="4">
        <v>0</v>
      </c>
      <c r="T43" s="4">
        <v>2</v>
      </c>
      <c r="U43" s="4"/>
      <c r="V43" s="4" t="s">
        <v>620</v>
      </c>
      <c r="W43" s="4"/>
      <c r="X43" s="4"/>
      <c r="Y43" s="4" t="s">
        <v>621</v>
      </c>
      <c r="Z43" s="4"/>
      <c r="AA43" s="4"/>
      <c r="AB43" s="4" t="s">
        <v>367</v>
      </c>
      <c r="AC43" s="4" t="s">
        <v>622</v>
      </c>
      <c r="AD43" s="4" t="s">
        <v>359</v>
      </c>
      <c r="AE43" s="4"/>
      <c r="AF43" s="4"/>
      <c r="AG43" s="4"/>
      <c r="AH43" s="4"/>
      <c r="AI43" s="4" t="s">
        <v>623</v>
      </c>
      <c r="AJ43" s="4">
        <v>1</v>
      </c>
      <c r="AK43" s="4">
        <v>1</v>
      </c>
      <c r="AL43" s="4"/>
      <c r="AM43" s="4" t="s">
        <v>348</v>
      </c>
      <c r="AN43" s="4" t="s">
        <v>360</v>
      </c>
      <c r="AO43" s="4">
        <v>0</v>
      </c>
      <c r="AP43" s="4" t="s">
        <v>350</v>
      </c>
      <c r="AQ43" s="4"/>
    </row>
    <row r="44" spans="1:43" ht="159.5" x14ac:dyDescent="0.35">
      <c r="A44" t="s">
        <v>262</v>
      </c>
      <c r="B44" s="19" t="s">
        <v>301</v>
      </c>
      <c r="C44" s="19" t="s">
        <v>302</v>
      </c>
      <c r="D44" s="4" t="s">
        <v>263</v>
      </c>
      <c r="E44" s="4" t="s">
        <v>235</v>
      </c>
      <c r="F44" s="4"/>
      <c r="G44" s="4" t="s">
        <v>352</v>
      </c>
      <c r="H44" s="4" t="s">
        <v>624</v>
      </c>
      <c r="I44" s="4"/>
      <c r="J44" s="4" t="s">
        <v>392</v>
      </c>
      <c r="K44" s="4" t="s">
        <v>625</v>
      </c>
      <c r="L44" s="4">
        <v>0</v>
      </c>
      <c r="M44" s="4" t="s">
        <v>394</v>
      </c>
      <c r="N44" s="4" t="s">
        <v>599</v>
      </c>
      <c r="O44" s="4">
        <v>0</v>
      </c>
      <c r="P44" s="4" t="s">
        <v>626</v>
      </c>
      <c r="Q44" s="4" t="s">
        <v>627</v>
      </c>
      <c r="R44" s="4"/>
      <c r="S44" s="4">
        <v>7</v>
      </c>
      <c r="T44" s="4"/>
      <c r="U44" s="4" t="s">
        <v>365</v>
      </c>
      <c r="V44" s="4" t="s">
        <v>628</v>
      </c>
      <c r="W44" s="4"/>
      <c r="X44" s="4"/>
      <c r="Y44" s="4" t="s">
        <v>629</v>
      </c>
      <c r="Z44" s="4"/>
      <c r="AA44" s="4"/>
      <c r="AB44" s="4"/>
      <c r="AC44" s="4"/>
      <c r="AD44" s="4" t="s">
        <v>359</v>
      </c>
      <c r="AE44" s="4"/>
      <c r="AF44" s="4"/>
      <c r="AG44" s="4"/>
      <c r="AH44" s="4"/>
      <c r="AI44" s="4"/>
      <c r="AJ44" s="4"/>
      <c r="AK44" s="4">
        <v>0</v>
      </c>
      <c r="AL44" s="4"/>
      <c r="AM44" s="4" t="s">
        <v>348</v>
      </c>
      <c r="AN44" s="4" t="s">
        <v>360</v>
      </c>
      <c r="AO44" s="4">
        <v>0</v>
      </c>
      <c r="AP44" s="4" t="s">
        <v>350</v>
      </c>
      <c r="AQ44" s="4">
        <v>5</v>
      </c>
    </row>
    <row r="45" spans="1:43" ht="409.5" x14ac:dyDescent="0.35">
      <c r="A45" t="s">
        <v>267</v>
      </c>
      <c r="B45" s="19" t="s">
        <v>301</v>
      </c>
      <c r="C45" s="19" t="s">
        <v>302</v>
      </c>
      <c r="D45" s="4"/>
      <c r="E45" s="4" t="s">
        <v>235</v>
      </c>
      <c r="F45" s="4" t="s">
        <v>630</v>
      </c>
      <c r="G45" s="4" t="s">
        <v>352</v>
      </c>
      <c r="H45" s="4" t="s">
        <v>631</v>
      </c>
      <c r="I45" s="4">
        <v>0</v>
      </c>
      <c r="J45" s="4" t="s">
        <v>353</v>
      </c>
      <c r="K45" s="4" t="s">
        <v>632</v>
      </c>
      <c r="L45" s="4">
        <v>0</v>
      </c>
      <c r="M45" s="4" t="s">
        <v>354</v>
      </c>
      <c r="N45" s="4" t="s">
        <v>364</v>
      </c>
      <c r="O45" s="4">
        <v>0</v>
      </c>
      <c r="P45" s="4" t="s">
        <v>633</v>
      </c>
      <c r="Q45" s="4" t="s">
        <v>634</v>
      </c>
      <c r="R45" s="4"/>
      <c r="S45" s="4">
        <v>7</v>
      </c>
      <c r="T45" s="4"/>
      <c r="U45" s="4" t="s">
        <v>365</v>
      </c>
      <c r="V45" s="4" t="s">
        <v>635</v>
      </c>
      <c r="W45" s="4"/>
      <c r="X45" s="4" t="s">
        <v>636</v>
      </c>
      <c r="Y45" s="4"/>
      <c r="Z45" s="4"/>
      <c r="AA45" s="4"/>
      <c r="AB45" s="4"/>
      <c r="AC45" s="4"/>
      <c r="AD45" s="4" t="s">
        <v>359</v>
      </c>
      <c r="AE45" s="4"/>
      <c r="AF45" s="4"/>
      <c r="AG45" s="4"/>
      <c r="AH45" s="4"/>
      <c r="AI45" s="4" t="s">
        <v>637</v>
      </c>
      <c r="AJ45" s="4">
        <v>1</v>
      </c>
      <c r="AK45" s="4">
        <v>1</v>
      </c>
      <c r="AL45" s="4"/>
      <c r="AM45" s="4" t="s">
        <v>348</v>
      </c>
      <c r="AN45" s="4" t="s">
        <v>360</v>
      </c>
      <c r="AO45" s="4">
        <v>0</v>
      </c>
      <c r="AP45" s="4" t="s">
        <v>350</v>
      </c>
      <c r="AQ45" s="4"/>
    </row>
    <row r="46" spans="1:43" ht="409.5" x14ac:dyDescent="0.35">
      <c r="A46" t="s">
        <v>274</v>
      </c>
      <c r="B46" s="19" t="s">
        <v>301</v>
      </c>
      <c r="C46" s="19" t="s">
        <v>302</v>
      </c>
      <c r="D46" s="4" t="s">
        <v>638</v>
      </c>
      <c r="E46" s="4" t="s">
        <v>235</v>
      </c>
      <c r="F46" s="4" t="s">
        <v>639</v>
      </c>
      <c r="G46" s="4" t="s">
        <v>352</v>
      </c>
      <c r="H46" s="4"/>
      <c r="I46" s="4">
        <v>1</v>
      </c>
      <c r="J46" s="4" t="s">
        <v>353</v>
      </c>
      <c r="K46" s="4" t="s">
        <v>640</v>
      </c>
      <c r="L46" s="4">
        <v>0</v>
      </c>
      <c r="M46" s="4" t="s">
        <v>354</v>
      </c>
      <c r="N46" s="4" t="s">
        <v>476</v>
      </c>
      <c r="O46" s="4">
        <v>1</v>
      </c>
      <c r="P46" s="4" t="s">
        <v>641</v>
      </c>
      <c r="Q46" s="4" t="s">
        <v>642</v>
      </c>
      <c r="R46" s="4"/>
      <c r="S46" s="4">
        <v>10</v>
      </c>
      <c r="T46" s="4"/>
      <c r="U46" s="4"/>
      <c r="V46" s="4"/>
      <c r="W46" s="4"/>
      <c r="X46" s="4"/>
      <c r="Y46" s="4" t="s">
        <v>643</v>
      </c>
      <c r="Z46" s="4"/>
      <c r="AA46" s="4"/>
      <c r="AB46" s="4"/>
      <c r="AC46" s="4"/>
      <c r="AD46" s="4" t="s">
        <v>359</v>
      </c>
      <c r="AE46" s="4" t="s">
        <v>388</v>
      </c>
      <c r="AF46" s="4"/>
      <c r="AG46" s="4"/>
      <c r="AH46" s="4"/>
      <c r="AI46" s="4"/>
      <c r="AJ46" s="4"/>
      <c r="AK46" s="4">
        <v>0</v>
      </c>
      <c r="AL46" s="4"/>
      <c r="AM46" s="4" t="s">
        <v>348</v>
      </c>
      <c r="AN46" s="4" t="s">
        <v>360</v>
      </c>
      <c r="AO46" s="4">
        <v>0</v>
      </c>
      <c r="AP46" s="4" t="s">
        <v>350</v>
      </c>
      <c r="AQ46" s="4">
        <v>5</v>
      </c>
    </row>
    <row r="47" spans="1:43" ht="333.5" x14ac:dyDescent="0.35">
      <c r="A47" t="s">
        <v>280</v>
      </c>
      <c r="B47" s="19" t="s">
        <v>301</v>
      </c>
      <c r="C47" s="19" t="s">
        <v>302</v>
      </c>
      <c r="D47" s="4"/>
      <c r="E47" s="4"/>
      <c r="F47" s="4"/>
      <c r="G47" s="4"/>
      <c r="H47" s="4"/>
      <c r="I47" s="4"/>
      <c r="J47" s="4"/>
      <c r="K47" s="4"/>
      <c r="L47" s="4">
        <v>0</v>
      </c>
      <c r="M47" s="4" t="s">
        <v>380</v>
      </c>
      <c r="N47" s="4" t="s">
        <v>364</v>
      </c>
      <c r="O47" s="4">
        <v>0</v>
      </c>
      <c r="P47" s="4" t="s">
        <v>644</v>
      </c>
      <c r="Q47" s="4" t="s">
        <v>645</v>
      </c>
      <c r="R47" s="4"/>
      <c r="S47" s="4">
        <v>1</v>
      </c>
      <c r="T47" s="4"/>
      <c r="U47" s="4"/>
      <c r="V47" s="4"/>
      <c r="W47" s="4"/>
      <c r="X47" s="4"/>
      <c r="Y47" s="4" t="s">
        <v>646</v>
      </c>
      <c r="Z47" s="4"/>
      <c r="AA47" s="4"/>
      <c r="AB47" s="4"/>
      <c r="AC47" s="4"/>
      <c r="AD47" s="4" t="s">
        <v>359</v>
      </c>
      <c r="AE47" s="4"/>
      <c r="AF47" s="4"/>
      <c r="AG47" s="4"/>
      <c r="AH47" s="4"/>
      <c r="AI47" s="4" t="s">
        <v>647</v>
      </c>
      <c r="AJ47" s="4"/>
      <c r="AK47" s="4">
        <v>0</v>
      </c>
      <c r="AL47" s="4"/>
      <c r="AM47" s="4" t="s">
        <v>348</v>
      </c>
      <c r="AN47" s="4" t="s">
        <v>349</v>
      </c>
      <c r="AO47" s="4">
        <v>0</v>
      </c>
      <c r="AP47" s="4" t="s">
        <v>350</v>
      </c>
      <c r="AQ47" s="4"/>
    </row>
    <row r="48" spans="1:43" ht="409.5" x14ac:dyDescent="0.35">
      <c r="A48" t="s">
        <v>286</v>
      </c>
      <c r="B48" s="19" t="s">
        <v>301</v>
      </c>
      <c r="C48" s="19" t="s">
        <v>302</v>
      </c>
      <c r="D48" s="4"/>
      <c r="E48" s="4" t="s">
        <v>361</v>
      </c>
      <c r="F48" s="4" t="s">
        <v>648</v>
      </c>
      <c r="G48" s="4" t="s">
        <v>362</v>
      </c>
      <c r="H48" s="4"/>
      <c r="I48" s="4"/>
      <c r="J48" s="4" t="s">
        <v>438</v>
      </c>
      <c r="K48" s="4" t="s">
        <v>649</v>
      </c>
      <c r="L48" s="4">
        <v>0</v>
      </c>
      <c r="M48" s="4" t="s">
        <v>439</v>
      </c>
      <c r="N48" s="4" t="s">
        <v>364</v>
      </c>
      <c r="O48" s="4">
        <v>0</v>
      </c>
      <c r="P48" s="4" t="s">
        <v>650</v>
      </c>
      <c r="Q48" s="4" t="s">
        <v>651</v>
      </c>
      <c r="R48" s="4"/>
      <c r="S48" s="4">
        <v>0</v>
      </c>
      <c r="T48" s="4"/>
      <c r="U48" s="4"/>
      <c r="V48" s="4"/>
      <c r="W48" s="4"/>
      <c r="X48" s="4" t="s">
        <v>652</v>
      </c>
      <c r="Y48" s="4" t="s">
        <v>653</v>
      </c>
      <c r="Z48" s="4"/>
      <c r="AA48" s="4" t="s">
        <v>652</v>
      </c>
      <c r="AB48" s="4" t="s">
        <v>367</v>
      </c>
      <c r="AC48" s="4" t="s">
        <v>368</v>
      </c>
      <c r="AD48" s="4" t="s">
        <v>359</v>
      </c>
      <c r="AE48" s="4"/>
      <c r="AF48" s="4"/>
      <c r="AG48" s="4"/>
      <c r="AH48" s="4"/>
      <c r="AI48" s="4" t="s">
        <v>654</v>
      </c>
      <c r="AJ48" s="4"/>
      <c r="AK48" s="4">
        <v>0</v>
      </c>
      <c r="AL48" s="4"/>
      <c r="AM48" s="4" t="s">
        <v>348</v>
      </c>
      <c r="AN48" s="4" t="s">
        <v>360</v>
      </c>
      <c r="AO48" s="4">
        <v>0</v>
      </c>
      <c r="AP48" s="4" t="s">
        <v>350</v>
      </c>
      <c r="AQ48" s="4"/>
    </row>
    <row r="49" spans="1:43" ht="333.5" x14ac:dyDescent="0.35">
      <c r="A49" t="s">
        <v>292</v>
      </c>
      <c r="B49" s="19" t="s">
        <v>301</v>
      </c>
      <c r="C49" s="19" t="s">
        <v>302</v>
      </c>
      <c r="D49" s="4"/>
      <c r="E49" s="4"/>
      <c r="F49" s="4"/>
      <c r="G49" s="4" t="s">
        <v>352</v>
      </c>
      <c r="H49" s="4"/>
      <c r="I49" s="4"/>
      <c r="J49" s="4" t="s">
        <v>518</v>
      </c>
      <c r="K49" s="4"/>
      <c r="L49" s="4">
        <v>0</v>
      </c>
      <c r="M49" s="4" t="s">
        <v>380</v>
      </c>
      <c r="N49" s="4" t="s">
        <v>364</v>
      </c>
      <c r="O49" s="4">
        <v>0</v>
      </c>
      <c r="P49" s="4" t="s">
        <v>655</v>
      </c>
      <c r="Q49" s="4" t="s">
        <v>656</v>
      </c>
      <c r="R49" s="4"/>
      <c r="S49" s="4">
        <v>1</v>
      </c>
      <c r="T49" s="4"/>
      <c r="U49" s="4"/>
      <c r="V49" s="4"/>
      <c r="W49" s="4"/>
      <c r="X49" s="4" t="s">
        <v>657</v>
      </c>
      <c r="Y49" s="4" t="s">
        <v>658</v>
      </c>
      <c r="Z49" s="4"/>
      <c r="AA49" s="4"/>
      <c r="AB49" s="4"/>
      <c r="AC49" s="4"/>
      <c r="AD49" s="4" t="s">
        <v>359</v>
      </c>
      <c r="AE49" s="4"/>
      <c r="AF49" s="4"/>
      <c r="AG49" s="4"/>
      <c r="AH49" s="4"/>
      <c r="AI49" s="4"/>
      <c r="AJ49" s="4"/>
      <c r="AK49" s="4">
        <v>0</v>
      </c>
      <c r="AL49" s="4"/>
      <c r="AM49" s="4" t="s">
        <v>348</v>
      </c>
      <c r="AN49" s="4" t="s">
        <v>360</v>
      </c>
      <c r="AO49" s="4">
        <v>0</v>
      </c>
      <c r="AP49" s="4" t="s">
        <v>350</v>
      </c>
      <c r="AQ49" s="4"/>
    </row>
    <row r="50" spans="1:43" ht="409.5" x14ac:dyDescent="0.35">
      <c r="A50" t="s">
        <v>297</v>
      </c>
      <c r="B50" s="19" t="s">
        <v>301</v>
      </c>
      <c r="C50" s="19" t="s">
        <v>302</v>
      </c>
      <c r="D50" s="4" t="s">
        <v>298</v>
      </c>
      <c r="E50" s="4" t="s">
        <v>361</v>
      </c>
      <c r="F50" s="4"/>
      <c r="G50" s="4" t="s">
        <v>352</v>
      </c>
      <c r="H50" s="4" t="s">
        <v>659</v>
      </c>
      <c r="I50" s="4"/>
      <c r="J50" s="4" t="s">
        <v>660</v>
      </c>
      <c r="K50" s="4" t="s">
        <v>661</v>
      </c>
      <c r="L50" s="4">
        <v>0</v>
      </c>
      <c r="M50" s="4" t="s">
        <v>380</v>
      </c>
      <c r="N50" s="4" t="s">
        <v>476</v>
      </c>
      <c r="O50" s="4">
        <v>0</v>
      </c>
      <c r="P50" s="4" t="s">
        <v>662</v>
      </c>
      <c r="Q50" s="4" t="s">
        <v>663</v>
      </c>
      <c r="R50" s="4"/>
      <c r="S50" s="4">
        <v>10</v>
      </c>
      <c r="T50" s="4"/>
      <c r="U50" s="4"/>
      <c r="V50" s="4"/>
      <c r="W50" s="4"/>
      <c r="X50" s="4" t="s">
        <v>664</v>
      </c>
      <c r="Y50" s="4" t="s">
        <v>665</v>
      </c>
      <c r="Z50" s="4"/>
      <c r="AA50" s="4" t="s">
        <v>666</v>
      </c>
      <c r="AB50" s="4"/>
      <c r="AC50" s="4"/>
      <c r="AD50" s="4" t="s">
        <v>359</v>
      </c>
      <c r="AE50" s="4"/>
      <c r="AF50" s="4"/>
      <c r="AG50" s="4"/>
      <c r="AH50" s="4"/>
      <c r="AI50" s="4" t="s">
        <v>667</v>
      </c>
      <c r="AJ50" s="4"/>
      <c r="AK50" s="4">
        <v>0</v>
      </c>
      <c r="AL50" s="4"/>
      <c r="AM50" s="4" t="s">
        <v>348</v>
      </c>
      <c r="AN50" s="4" t="s">
        <v>360</v>
      </c>
      <c r="AO50" s="4">
        <v>1</v>
      </c>
      <c r="AP50" s="4" t="s">
        <v>350</v>
      </c>
      <c r="AQ50" s="4">
        <v>5</v>
      </c>
    </row>
  </sheetData>
  <hyperlinks>
    <hyperlink ref="B2" location="'01_Ofertas_Originales'!A2" display="→ Oferta" xr:uid="{00000000-0004-0000-0200-000000000000}"/>
    <hyperlink ref="C2" location="'03_Matching_ESCO'!A2" display="→ Match" xr:uid="{00000000-0004-0000-0200-000001000000}"/>
    <hyperlink ref="B3" location="'01_Ofertas_Originales'!A3" display="→ Oferta" xr:uid="{00000000-0004-0000-0200-000002000000}"/>
    <hyperlink ref="C3" location="'03_Matching_ESCO'!A3" display="→ Match" xr:uid="{00000000-0004-0000-0200-000003000000}"/>
    <hyperlink ref="B4" location="'01_Ofertas_Originales'!A4" display="→ Oferta" xr:uid="{00000000-0004-0000-0200-000004000000}"/>
    <hyperlink ref="C4" location="'03_Matching_ESCO'!A4" display="→ Match" xr:uid="{00000000-0004-0000-0200-000005000000}"/>
    <hyperlink ref="B5" location="'01_Ofertas_Originales'!A5" display="→ Oferta" xr:uid="{00000000-0004-0000-0200-000006000000}"/>
    <hyperlink ref="C5" location="'03_Matching_ESCO'!A5" display="→ Match" xr:uid="{00000000-0004-0000-0200-000007000000}"/>
    <hyperlink ref="B6" location="'01_Ofertas_Originales'!A6" display="→ Oferta" xr:uid="{00000000-0004-0000-0200-000008000000}"/>
    <hyperlink ref="C6" location="'03_Matching_ESCO'!A6" display="→ Match" xr:uid="{00000000-0004-0000-0200-000009000000}"/>
    <hyperlink ref="B7" location="'01_Ofertas_Originales'!A7" display="→ Oferta" xr:uid="{00000000-0004-0000-0200-00000A000000}"/>
    <hyperlink ref="C7" location="'03_Matching_ESCO'!A7" display="→ Match" xr:uid="{00000000-0004-0000-0200-00000B000000}"/>
    <hyperlink ref="B8" location="'01_Ofertas_Originales'!A8" display="→ Oferta" xr:uid="{00000000-0004-0000-0200-00000C000000}"/>
    <hyperlink ref="C8" location="'03_Matching_ESCO'!A8" display="→ Match" xr:uid="{00000000-0004-0000-0200-00000D000000}"/>
    <hyperlink ref="B9" location="'01_Ofertas_Originales'!A9" display="→ Oferta" xr:uid="{00000000-0004-0000-0200-00000E000000}"/>
    <hyperlink ref="C9" location="'03_Matching_ESCO'!A9" display="→ Match" xr:uid="{00000000-0004-0000-0200-00000F000000}"/>
    <hyperlink ref="B10" location="'01_Ofertas_Originales'!A10" display="→ Oferta" xr:uid="{00000000-0004-0000-0200-000010000000}"/>
    <hyperlink ref="C10" location="'03_Matching_ESCO'!A10" display="→ Match" xr:uid="{00000000-0004-0000-0200-000011000000}"/>
    <hyperlink ref="B11" location="'01_Ofertas_Originales'!A11" display="→ Oferta" xr:uid="{00000000-0004-0000-0200-000012000000}"/>
    <hyperlink ref="C11" location="'03_Matching_ESCO'!A11" display="→ Match" xr:uid="{00000000-0004-0000-0200-000013000000}"/>
    <hyperlink ref="B12" location="'01_Ofertas_Originales'!A12" display="→ Oferta" xr:uid="{00000000-0004-0000-0200-000014000000}"/>
    <hyperlink ref="C12" location="'03_Matching_ESCO'!A12" display="→ Match" xr:uid="{00000000-0004-0000-0200-000015000000}"/>
    <hyperlink ref="B13" location="'01_Ofertas_Originales'!A13" display="→ Oferta" xr:uid="{00000000-0004-0000-0200-000016000000}"/>
    <hyperlink ref="C13" location="'03_Matching_ESCO'!A13" display="→ Match" xr:uid="{00000000-0004-0000-0200-000017000000}"/>
    <hyperlink ref="B14" location="'01_Ofertas_Originales'!A14" display="→ Oferta" xr:uid="{00000000-0004-0000-0200-000018000000}"/>
    <hyperlink ref="C14" location="'03_Matching_ESCO'!A14" display="→ Match" xr:uid="{00000000-0004-0000-0200-000019000000}"/>
    <hyperlink ref="B15" location="'01_Ofertas_Originales'!A15" display="→ Oferta" xr:uid="{00000000-0004-0000-0200-00001A000000}"/>
    <hyperlink ref="C15" location="'03_Matching_ESCO'!A15" display="→ Match" xr:uid="{00000000-0004-0000-0200-00001B000000}"/>
    <hyperlink ref="B16" location="'01_Ofertas_Originales'!A16" display="→ Oferta" xr:uid="{00000000-0004-0000-0200-00001C000000}"/>
    <hyperlink ref="C16" location="'03_Matching_ESCO'!A16" display="→ Match" xr:uid="{00000000-0004-0000-0200-00001D000000}"/>
    <hyperlink ref="B17" location="'01_Ofertas_Originales'!A17" display="→ Oferta" xr:uid="{00000000-0004-0000-0200-00001E000000}"/>
    <hyperlink ref="C17" location="'03_Matching_ESCO'!A17" display="→ Match" xr:uid="{00000000-0004-0000-0200-00001F000000}"/>
    <hyperlink ref="B18" location="'01_Ofertas_Originales'!A18" display="→ Oferta" xr:uid="{00000000-0004-0000-0200-000020000000}"/>
    <hyperlink ref="C18" location="'03_Matching_ESCO'!A18" display="→ Match" xr:uid="{00000000-0004-0000-0200-000021000000}"/>
    <hyperlink ref="B19" location="'01_Ofertas_Originales'!A19" display="→ Oferta" xr:uid="{00000000-0004-0000-0200-000022000000}"/>
    <hyperlink ref="C19" location="'03_Matching_ESCO'!A19" display="→ Match" xr:uid="{00000000-0004-0000-0200-000023000000}"/>
    <hyperlink ref="B20" location="'01_Ofertas_Originales'!A20" display="→ Oferta" xr:uid="{00000000-0004-0000-0200-000024000000}"/>
    <hyperlink ref="C20" location="'03_Matching_ESCO'!A20" display="→ Match" xr:uid="{00000000-0004-0000-0200-000025000000}"/>
    <hyperlink ref="B21" location="'01_Ofertas_Originales'!A21" display="→ Oferta" xr:uid="{00000000-0004-0000-0200-000026000000}"/>
    <hyperlink ref="C21" location="'03_Matching_ESCO'!A21" display="→ Match" xr:uid="{00000000-0004-0000-0200-000027000000}"/>
    <hyperlink ref="B22" location="'01_Ofertas_Originales'!A22" display="→ Oferta" xr:uid="{00000000-0004-0000-0200-000028000000}"/>
    <hyperlink ref="C22" location="'03_Matching_ESCO'!A22" display="→ Match" xr:uid="{00000000-0004-0000-0200-000029000000}"/>
    <hyperlink ref="B23" location="'01_Ofertas_Originales'!A23" display="→ Oferta" xr:uid="{00000000-0004-0000-0200-00002A000000}"/>
    <hyperlink ref="C23" location="'03_Matching_ESCO'!A23" display="→ Match" xr:uid="{00000000-0004-0000-0200-00002B000000}"/>
    <hyperlink ref="B24" location="'01_Ofertas_Originales'!A24" display="→ Oferta" xr:uid="{00000000-0004-0000-0200-00002C000000}"/>
    <hyperlink ref="C24" location="'03_Matching_ESCO'!A24" display="→ Match" xr:uid="{00000000-0004-0000-0200-00002D000000}"/>
    <hyperlink ref="B25" location="'01_Ofertas_Originales'!A25" display="→ Oferta" xr:uid="{00000000-0004-0000-0200-00002E000000}"/>
    <hyperlink ref="C25" location="'03_Matching_ESCO'!A25" display="→ Match" xr:uid="{00000000-0004-0000-0200-00002F000000}"/>
    <hyperlink ref="B26" location="'01_Ofertas_Originales'!A26" display="→ Oferta" xr:uid="{00000000-0004-0000-0200-000030000000}"/>
    <hyperlink ref="C26" location="'03_Matching_ESCO'!A26" display="→ Match" xr:uid="{00000000-0004-0000-0200-000031000000}"/>
    <hyperlink ref="B27" location="'01_Ofertas_Originales'!A27" display="→ Oferta" xr:uid="{00000000-0004-0000-0200-000032000000}"/>
    <hyperlink ref="C27" location="'03_Matching_ESCO'!A27" display="→ Match" xr:uid="{00000000-0004-0000-0200-000033000000}"/>
    <hyperlink ref="B28" location="'01_Ofertas_Originales'!A28" display="→ Oferta" xr:uid="{00000000-0004-0000-0200-000034000000}"/>
    <hyperlink ref="C28" location="'03_Matching_ESCO'!A28" display="→ Match" xr:uid="{00000000-0004-0000-0200-000035000000}"/>
    <hyperlink ref="B29" location="'01_Ofertas_Originales'!A29" display="→ Oferta" xr:uid="{00000000-0004-0000-0200-000036000000}"/>
    <hyperlink ref="C29" location="'03_Matching_ESCO'!A29" display="→ Match" xr:uid="{00000000-0004-0000-0200-000037000000}"/>
    <hyperlink ref="B30" location="'01_Ofertas_Originales'!A30" display="→ Oferta" xr:uid="{00000000-0004-0000-0200-000038000000}"/>
    <hyperlink ref="C30" location="'03_Matching_ESCO'!A30" display="→ Match" xr:uid="{00000000-0004-0000-0200-000039000000}"/>
    <hyperlink ref="B31" location="'01_Ofertas_Originales'!A31" display="→ Oferta" xr:uid="{00000000-0004-0000-0200-00003A000000}"/>
    <hyperlink ref="C31" location="'03_Matching_ESCO'!A31" display="→ Match" xr:uid="{00000000-0004-0000-0200-00003B000000}"/>
    <hyperlink ref="B32" location="'01_Ofertas_Originales'!A32" display="→ Oferta" xr:uid="{00000000-0004-0000-0200-00003C000000}"/>
    <hyperlink ref="C32" location="'03_Matching_ESCO'!A32" display="→ Match" xr:uid="{00000000-0004-0000-0200-00003D000000}"/>
    <hyperlink ref="B33" location="'01_Ofertas_Originales'!A33" display="→ Oferta" xr:uid="{00000000-0004-0000-0200-00003E000000}"/>
    <hyperlink ref="C33" location="'03_Matching_ESCO'!A33" display="→ Match" xr:uid="{00000000-0004-0000-0200-00003F000000}"/>
    <hyperlink ref="B34" location="'01_Ofertas_Originales'!A34" display="→ Oferta" xr:uid="{00000000-0004-0000-0200-000040000000}"/>
    <hyperlink ref="C34" location="'03_Matching_ESCO'!A34" display="→ Match" xr:uid="{00000000-0004-0000-0200-000041000000}"/>
    <hyperlink ref="B35" location="'01_Ofertas_Originales'!A35" display="→ Oferta" xr:uid="{00000000-0004-0000-0200-000042000000}"/>
    <hyperlink ref="C35" location="'03_Matching_ESCO'!A35" display="→ Match" xr:uid="{00000000-0004-0000-0200-000043000000}"/>
    <hyperlink ref="B36" location="'01_Ofertas_Originales'!A36" display="→ Oferta" xr:uid="{00000000-0004-0000-0200-000044000000}"/>
    <hyperlink ref="C36" location="'03_Matching_ESCO'!A36" display="→ Match" xr:uid="{00000000-0004-0000-0200-000045000000}"/>
    <hyperlink ref="B37" location="'01_Ofertas_Originales'!A37" display="→ Oferta" xr:uid="{00000000-0004-0000-0200-000046000000}"/>
    <hyperlink ref="C37" location="'03_Matching_ESCO'!A37" display="→ Match" xr:uid="{00000000-0004-0000-0200-000047000000}"/>
    <hyperlink ref="B38" location="'01_Ofertas_Originales'!A38" display="→ Oferta" xr:uid="{00000000-0004-0000-0200-000048000000}"/>
    <hyperlink ref="C38" location="'03_Matching_ESCO'!A38" display="→ Match" xr:uid="{00000000-0004-0000-0200-000049000000}"/>
    <hyperlink ref="B39" location="'01_Ofertas_Originales'!A39" display="→ Oferta" xr:uid="{00000000-0004-0000-0200-00004A000000}"/>
    <hyperlink ref="C39" location="'03_Matching_ESCO'!A39" display="→ Match" xr:uid="{00000000-0004-0000-0200-00004B000000}"/>
    <hyperlink ref="B40" location="'01_Ofertas_Originales'!A40" display="→ Oferta" xr:uid="{00000000-0004-0000-0200-00004C000000}"/>
    <hyperlink ref="C40" location="'03_Matching_ESCO'!A40" display="→ Match" xr:uid="{00000000-0004-0000-0200-00004D000000}"/>
    <hyperlink ref="B41" location="'01_Ofertas_Originales'!A41" display="→ Oferta" xr:uid="{00000000-0004-0000-0200-00004E000000}"/>
    <hyperlink ref="C41" location="'03_Matching_ESCO'!A41" display="→ Match" xr:uid="{00000000-0004-0000-0200-00004F000000}"/>
    <hyperlink ref="B42" location="'01_Ofertas_Originales'!A42" display="→ Oferta" xr:uid="{00000000-0004-0000-0200-000050000000}"/>
    <hyperlink ref="C42" location="'03_Matching_ESCO'!A42" display="→ Match" xr:uid="{00000000-0004-0000-0200-000051000000}"/>
    <hyperlink ref="B43" location="'01_Ofertas_Originales'!A43" display="→ Oferta" xr:uid="{00000000-0004-0000-0200-000052000000}"/>
    <hyperlink ref="C43" location="'03_Matching_ESCO'!A43" display="→ Match" xr:uid="{00000000-0004-0000-0200-000053000000}"/>
    <hyperlink ref="B44" location="'01_Ofertas_Originales'!A44" display="→ Oferta" xr:uid="{00000000-0004-0000-0200-000054000000}"/>
    <hyperlink ref="C44" location="'03_Matching_ESCO'!A44" display="→ Match" xr:uid="{00000000-0004-0000-0200-000055000000}"/>
    <hyperlink ref="B45" location="'01_Ofertas_Originales'!A45" display="→ Oferta" xr:uid="{00000000-0004-0000-0200-000056000000}"/>
    <hyperlink ref="C45" location="'03_Matching_ESCO'!A45" display="→ Match" xr:uid="{00000000-0004-0000-0200-000057000000}"/>
    <hyperlink ref="B46" location="'01_Ofertas_Originales'!A46" display="→ Oferta" xr:uid="{00000000-0004-0000-0200-000058000000}"/>
    <hyperlink ref="C46" location="'03_Matching_ESCO'!A46" display="→ Match" xr:uid="{00000000-0004-0000-0200-000059000000}"/>
    <hyperlink ref="B47" location="'01_Ofertas_Originales'!A47" display="→ Oferta" xr:uid="{00000000-0004-0000-0200-00005A000000}"/>
    <hyperlink ref="C47" location="'03_Matching_ESCO'!A47" display="→ Match" xr:uid="{00000000-0004-0000-0200-00005B000000}"/>
    <hyperlink ref="B48" location="'01_Ofertas_Originales'!A48" display="→ Oferta" xr:uid="{00000000-0004-0000-0200-00005C000000}"/>
    <hyperlink ref="C48" location="'03_Matching_ESCO'!A48" display="→ Match" xr:uid="{00000000-0004-0000-0200-00005D000000}"/>
    <hyperlink ref="B49" location="'01_Ofertas_Originales'!A49" display="→ Oferta" xr:uid="{00000000-0004-0000-0200-00005E000000}"/>
    <hyperlink ref="C49" location="'03_Matching_ESCO'!A49" display="→ Match" xr:uid="{00000000-0004-0000-0200-00005F000000}"/>
    <hyperlink ref="B50" location="'01_Ofertas_Originales'!A50" display="→ Oferta" xr:uid="{00000000-0004-0000-0200-000060000000}"/>
    <hyperlink ref="C50" location="'03_Matching_ESCO'!A50" display="→ Match" xr:uid="{00000000-0004-0000-0200-000061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50"/>
  <sheetViews>
    <sheetView workbookViewId="0">
      <pane xSplit="3" ySplit="1" topLeftCell="M2" activePane="bottomRight" state="frozen"/>
      <selection pane="topRight"/>
      <selection pane="bottomLeft"/>
      <selection pane="bottomRight" activeCell="M1" sqref="M1"/>
    </sheetView>
  </sheetViews>
  <sheetFormatPr baseColWidth="10" defaultColWidth="9.1796875" defaultRowHeight="14.5" x14ac:dyDescent="0.35"/>
  <cols>
    <col min="1" max="1" width="12" customWidth="1"/>
    <col min="2" max="3" width="10" customWidth="1"/>
    <col min="4" max="4" width="43.453125" customWidth="1"/>
    <col min="5" max="5" width="68" customWidth="1"/>
    <col min="6" max="6" width="50" customWidth="1"/>
    <col min="7" max="7" width="12" customWidth="1"/>
    <col min="8" max="8" width="45" customWidth="1"/>
    <col min="9" max="9" width="10" customWidth="1"/>
    <col min="10" max="10" width="12" customWidth="1"/>
    <col min="11" max="11" width="10" customWidth="1"/>
    <col min="12" max="12" width="50" customWidth="1"/>
    <col min="13" max="13" width="16.81640625" customWidth="1"/>
    <col min="14" max="14" width="32.81640625" customWidth="1"/>
  </cols>
  <sheetData>
    <row r="1" spans="1:14" x14ac:dyDescent="0.35">
      <c r="A1" s="5" t="s">
        <v>0</v>
      </c>
      <c r="B1" s="5" t="s">
        <v>301</v>
      </c>
      <c r="C1" s="5" t="s">
        <v>1</v>
      </c>
      <c r="D1" s="1" t="s">
        <v>2</v>
      </c>
      <c r="E1" s="1" t="s">
        <v>668</v>
      </c>
      <c r="F1" s="1" t="s">
        <v>669</v>
      </c>
      <c r="G1" s="1" t="s">
        <v>670</v>
      </c>
      <c r="H1" s="1" t="s">
        <v>671</v>
      </c>
      <c r="I1" s="1" t="s">
        <v>672</v>
      </c>
      <c r="J1" s="1" t="s">
        <v>673</v>
      </c>
      <c r="K1" s="1" t="s">
        <v>674</v>
      </c>
      <c r="L1" s="1" t="s">
        <v>675</v>
      </c>
      <c r="M1" s="25" t="s">
        <v>906</v>
      </c>
      <c r="N1" s="24" t="s">
        <v>893</v>
      </c>
    </row>
    <row r="2" spans="1:14" ht="29" x14ac:dyDescent="0.35">
      <c r="A2" s="2" t="s">
        <v>9</v>
      </c>
      <c r="B2" s="3" t="s">
        <v>301</v>
      </c>
      <c r="C2" s="3" t="s">
        <v>1</v>
      </c>
      <c r="D2" s="2" t="s">
        <v>10</v>
      </c>
      <c r="E2" s="2" t="s">
        <v>676</v>
      </c>
      <c r="F2" s="2" t="s">
        <v>677</v>
      </c>
      <c r="G2" s="2" t="s">
        <v>678</v>
      </c>
      <c r="H2" s="2" t="s">
        <v>679</v>
      </c>
      <c r="I2" s="2">
        <v>0.67700000000000005</v>
      </c>
      <c r="J2" s="2" t="s">
        <v>680</v>
      </c>
      <c r="K2" s="20" t="s">
        <v>681</v>
      </c>
      <c r="L2" s="4" t="s">
        <v>682</v>
      </c>
      <c r="M2" s="23" t="b">
        <v>1</v>
      </c>
    </row>
    <row r="3" spans="1:14" ht="42" customHeight="1" x14ac:dyDescent="0.35">
      <c r="A3" s="2" t="s">
        <v>17</v>
      </c>
      <c r="B3" s="3" t="s">
        <v>301</v>
      </c>
      <c r="C3" s="3" t="s">
        <v>1</v>
      </c>
      <c r="D3" s="2" t="s">
        <v>18</v>
      </c>
      <c r="E3" s="2" t="s">
        <v>683</v>
      </c>
      <c r="F3" s="2" t="s">
        <v>684</v>
      </c>
      <c r="G3" s="2" t="s">
        <v>685</v>
      </c>
      <c r="H3" s="2" t="s">
        <v>686</v>
      </c>
      <c r="I3" s="2">
        <v>0.71199999999999997</v>
      </c>
      <c r="J3" s="2" t="s">
        <v>680</v>
      </c>
      <c r="K3" s="20" t="s">
        <v>681</v>
      </c>
      <c r="L3" s="4" t="s">
        <v>687</v>
      </c>
      <c r="M3" t="b">
        <v>0</v>
      </c>
      <c r="N3" t="s">
        <v>892</v>
      </c>
    </row>
    <row r="4" spans="1:14" ht="29" x14ac:dyDescent="0.35">
      <c r="A4" s="2" t="s">
        <v>22</v>
      </c>
      <c r="B4" s="3" t="s">
        <v>301</v>
      </c>
      <c r="C4" s="3" t="s">
        <v>1</v>
      </c>
      <c r="D4" s="2" t="s">
        <v>23</v>
      </c>
      <c r="E4" s="2" t="s">
        <v>688</v>
      </c>
      <c r="F4" s="2" t="s">
        <v>689</v>
      </c>
      <c r="G4" s="2" t="s">
        <v>690</v>
      </c>
      <c r="H4" s="2" t="s">
        <v>691</v>
      </c>
      <c r="I4" s="2">
        <v>0.64400000000000002</v>
      </c>
      <c r="J4" s="2" t="s">
        <v>680</v>
      </c>
      <c r="K4" s="20" t="s">
        <v>681</v>
      </c>
      <c r="L4" s="4" t="s">
        <v>692</v>
      </c>
      <c r="M4" t="b">
        <v>1</v>
      </c>
    </row>
    <row r="5" spans="1:14" ht="29" x14ac:dyDescent="0.35">
      <c r="A5" s="2" t="s">
        <v>28</v>
      </c>
      <c r="B5" s="3" t="s">
        <v>301</v>
      </c>
      <c r="C5" s="3" t="s">
        <v>1</v>
      </c>
      <c r="D5" s="2" t="s">
        <v>29</v>
      </c>
      <c r="E5" s="2" t="s">
        <v>693</v>
      </c>
      <c r="F5" s="2" t="s">
        <v>694</v>
      </c>
      <c r="G5" s="2" t="s">
        <v>695</v>
      </c>
      <c r="H5" s="2" t="s">
        <v>696</v>
      </c>
      <c r="I5" s="2">
        <v>0.70699999999999996</v>
      </c>
      <c r="J5" s="2" t="s">
        <v>680</v>
      </c>
      <c r="K5" s="20" t="s">
        <v>681</v>
      </c>
      <c r="L5" s="4" t="s">
        <v>697</v>
      </c>
      <c r="M5" t="b">
        <v>1</v>
      </c>
    </row>
    <row r="6" spans="1:14" ht="43.5" x14ac:dyDescent="0.35">
      <c r="A6" s="2" t="s">
        <v>34</v>
      </c>
      <c r="B6" s="3" t="s">
        <v>301</v>
      </c>
      <c r="C6" s="3" t="s">
        <v>1</v>
      </c>
      <c r="D6" s="2" t="s">
        <v>35</v>
      </c>
      <c r="E6" s="2" t="s">
        <v>698</v>
      </c>
      <c r="F6" s="2" t="s">
        <v>699</v>
      </c>
      <c r="G6" s="2" t="s">
        <v>700</v>
      </c>
      <c r="H6" s="2" t="s">
        <v>701</v>
      </c>
      <c r="I6" s="2">
        <v>0.59199999999999997</v>
      </c>
      <c r="J6" s="2" t="s">
        <v>680</v>
      </c>
      <c r="K6" s="20" t="s">
        <v>681</v>
      </c>
      <c r="L6" s="4" t="s">
        <v>702</v>
      </c>
      <c r="M6" t="b">
        <v>0</v>
      </c>
      <c r="N6" t="s">
        <v>907</v>
      </c>
    </row>
    <row r="7" spans="1:14" ht="29" x14ac:dyDescent="0.35">
      <c r="A7" s="2" t="s">
        <v>40</v>
      </c>
      <c r="B7" s="3" t="s">
        <v>301</v>
      </c>
      <c r="C7" s="3" t="s">
        <v>1</v>
      </c>
      <c r="D7" s="2" t="s">
        <v>41</v>
      </c>
      <c r="E7" s="2" t="s">
        <v>703</v>
      </c>
      <c r="F7" s="2" t="s">
        <v>704</v>
      </c>
      <c r="G7" s="2" t="s">
        <v>705</v>
      </c>
      <c r="H7" s="2" t="s">
        <v>706</v>
      </c>
      <c r="I7" s="2">
        <v>0.95</v>
      </c>
      <c r="J7" s="2" t="s">
        <v>707</v>
      </c>
      <c r="K7" s="20" t="s">
        <v>681</v>
      </c>
      <c r="L7" s="4" t="s">
        <v>708</v>
      </c>
      <c r="M7" t="b">
        <v>1</v>
      </c>
    </row>
    <row r="8" spans="1:14" ht="43.5" x14ac:dyDescent="0.35">
      <c r="A8" s="2" t="s">
        <v>46</v>
      </c>
      <c r="B8" s="3" t="s">
        <v>301</v>
      </c>
      <c r="C8" s="3" t="s">
        <v>1</v>
      </c>
      <c r="D8" s="2" t="s">
        <v>47</v>
      </c>
      <c r="E8" s="2" t="s">
        <v>709</v>
      </c>
      <c r="F8" s="2" t="s">
        <v>710</v>
      </c>
      <c r="G8" s="2" t="s">
        <v>678</v>
      </c>
      <c r="H8" s="2" t="s">
        <v>679</v>
      </c>
      <c r="I8" s="2">
        <v>0.98</v>
      </c>
      <c r="J8" s="2" t="s">
        <v>680</v>
      </c>
      <c r="K8" s="20" t="s">
        <v>681</v>
      </c>
      <c r="L8" s="4" t="s">
        <v>711</v>
      </c>
      <c r="M8" t="b">
        <v>1</v>
      </c>
    </row>
    <row r="9" spans="1:14" x14ac:dyDescent="0.35">
      <c r="A9" s="2" t="s">
        <v>52</v>
      </c>
      <c r="B9" s="3" t="s">
        <v>301</v>
      </c>
      <c r="C9" s="3" t="s">
        <v>1</v>
      </c>
      <c r="D9" s="2" t="s">
        <v>53</v>
      </c>
      <c r="E9" s="2" t="s">
        <v>712</v>
      </c>
      <c r="F9" s="2" t="s">
        <v>713</v>
      </c>
      <c r="G9" s="2" t="s">
        <v>714</v>
      </c>
      <c r="H9" s="2" t="s">
        <v>715</v>
      </c>
      <c r="I9" s="2">
        <v>0.70099999999999996</v>
      </c>
      <c r="J9" s="2" t="s">
        <v>680</v>
      </c>
      <c r="K9" s="20" t="s">
        <v>681</v>
      </c>
      <c r="L9" s="4" t="s">
        <v>716</v>
      </c>
      <c r="M9" t="b">
        <v>0</v>
      </c>
      <c r="N9" t="s">
        <v>894</v>
      </c>
    </row>
    <row r="10" spans="1:14" ht="29" x14ac:dyDescent="0.35">
      <c r="A10" s="2" t="s">
        <v>58</v>
      </c>
      <c r="B10" s="3" t="s">
        <v>301</v>
      </c>
      <c r="C10" s="3" t="s">
        <v>1</v>
      </c>
      <c r="D10" s="2" t="s">
        <v>59</v>
      </c>
      <c r="E10" s="2" t="s">
        <v>717</v>
      </c>
      <c r="F10" s="2" t="s">
        <v>718</v>
      </c>
      <c r="G10" s="2" t="s">
        <v>719</v>
      </c>
      <c r="H10" s="2" t="s">
        <v>720</v>
      </c>
      <c r="I10" s="2">
        <v>0.90900000000000003</v>
      </c>
      <c r="J10" s="2" t="s">
        <v>680</v>
      </c>
      <c r="K10" s="20" t="s">
        <v>681</v>
      </c>
      <c r="L10" s="4" t="s">
        <v>721</v>
      </c>
      <c r="M10" t="b">
        <v>0</v>
      </c>
      <c r="N10" t="s">
        <v>895</v>
      </c>
    </row>
    <row r="11" spans="1:14" ht="29" x14ac:dyDescent="0.35">
      <c r="A11" s="2" t="s">
        <v>64</v>
      </c>
      <c r="B11" s="3" t="s">
        <v>301</v>
      </c>
      <c r="C11" s="3" t="s">
        <v>1</v>
      </c>
      <c r="D11" s="2" t="s">
        <v>65</v>
      </c>
      <c r="E11" s="2" t="s">
        <v>722</v>
      </c>
      <c r="F11" s="2" t="s">
        <v>723</v>
      </c>
      <c r="G11" s="2" t="s">
        <v>724</v>
      </c>
      <c r="H11" s="2" t="s">
        <v>725</v>
      </c>
      <c r="I11" s="2">
        <v>0.95</v>
      </c>
      <c r="J11" s="2" t="s">
        <v>707</v>
      </c>
      <c r="K11" s="20" t="s">
        <v>681</v>
      </c>
      <c r="L11" s="4" t="s">
        <v>726</v>
      </c>
      <c r="M11" t="b">
        <v>1</v>
      </c>
    </row>
    <row r="12" spans="1:14" ht="29" x14ac:dyDescent="0.35">
      <c r="A12" s="2" t="s">
        <v>70</v>
      </c>
      <c r="B12" s="3" t="s">
        <v>301</v>
      </c>
      <c r="C12" s="3" t="s">
        <v>1</v>
      </c>
      <c r="D12" s="2" t="s">
        <v>71</v>
      </c>
      <c r="E12" s="2" t="s">
        <v>727</v>
      </c>
      <c r="F12" s="2" t="s">
        <v>728</v>
      </c>
      <c r="G12" s="2" t="s">
        <v>729</v>
      </c>
      <c r="H12" s="2" t="s">
        <v>730</v>
      </c>
      <c r="I12" s="2">
        <v>0.65300000000000002</v>
      </c>
      <c r="J12" s="2" t="s">
        <v>680</v>
      </c>
      <c r="K12" s="20" t="s">
        <v>681</v>
      </c>
      <c r="L12" s="4" t="s">
        <v>731</v>
      </c>
      <c r="M12" t="b">
        <v>1</v>
      </c>
    </row>
    <row r="13" spans="1:14" ht="29" x14ac:dyDescent="0.35">
      <c r="A13" s="2" t="s">
        <v>76</v>
      </c>
      <c r="B13" s="3" t="s">
        <v>301</v>
      </c>
      <c r="C13" s="3" t="s">
        <v>1</v>
      </c>
      <c r="D13" s="2" t="s">
        <v>77</v>
      </c>
      <c r="E13" s="2" t="s">
        <v>732</v>
      </c>
      <c r="F13" s="2" t="s">
        <v>733</v>
      </c>
      <c r="G13" s="2" t="s">
        <v>734</v>
      </c>
      <c r="H13" s="2" t="s">
        <v>735</v>
      </c>
      <c r="I13" s="2">
        <v>0.745</v>
      </c>
      <c r="J13" s="2" t="s">
        <v>680</v>
      </c>
      <c r="K13" s="20" t="s">
        <v>681</v>
      </c>
      <c r="L13" s="4" t="s">
        <v>736</v>
      </c>
      <c r="M13" t="b">
        <v>0</v>
      </c>
      <c r="N13" t="s">
        <v>896</v>
      </c>
    </row>
    <row r="14" spans="1:14" x14ac:dyDescent="0.35">
      <c r="A14" s="2" t="s">
        <v>81</v>
      </c>
      <c r="B14" s="3" t="s">
        <v>301</v>
      </c>
      <c r="C14" s="3" t="s">
        <v>1</v>
      </c>
      <c r="D14" s="2" t="s">
        <v>82</v>
      </c>
      <c r="E14" s="2" t="s">
        <v>445</v>
      </c>
      <c r="F14" s="2" t="s">
        <v>737</v>
      </c>
      <c r="G14" s="2" t="s">
        <v>738</v>
      </c>
      <c r="H14" s="2" t="s">
        <v>739</v>
      </c>
      <c r="I14" s="2">
        <v>0.66500000000000004</v>
      </c>
      <c r="J14" s="2" t="s">
        <v>680</v>
      </c>
      <c r="K14" s="20" t="s">
        <v>681</v>
      </c>
      <c r="L14" s="4" t="s">
        <v>740</v>
      </c>
      <c r="M14" t="b">
        <v>1</v>
      </c>
    </row>
    <row r="15" spans="1:14" ht="29" x14ac:dyDescent="0.35">
      <c r="A15" s="2" t="s">
        <v>87</v>
      </c>
      <c r="B15" s="3" t="s">
        <v>301</v>
      </c>
      <c r="C15" s="3" t="s">
        <v>1</v>
      </c>
      <c r="D15" s="2" t="s">
        <v>88</v>
      </c>
      <c r="E15" s="2" t="s">
        <v>741</v>
      </c>
      <c r="F15" s="2" t="s">
        <v>742</v>
      </c>
      <c r="G15" s="2" t="s">
        <v>743</v>
      </c>
      <c r="H15" s="2" t="s">
        <v>744</v>
      </c>
      <c r="I15" s="2">
        <v>0.73699999999999999</v>
      </c>
      <c r="J15" s="2" t="s">
        <v>680</v>
      </c>
      <c r="K15" s="20" t="s">
        <v>681</v>
      </c>
      <c r="L15" s="4" t="s">
        <v>745</v>
      </c>
      <c r="M15" t="b">
        <v>1</v>
      </c>
    </row>
    <row r="16" spans="1:14" ht="29" x14ac:dyDescent="0.35">
      <c r="A16" s="2" t="s">
        <v>93</v>
      </c>
      <c r="B16" s="3" t="s">
        <v>301</v>
      </c>
      <c r="C16" s="3" t="s">
        <v>1</v>
      </c>
      <c r="D16" s="2" t="s">
        <v>94</v>
      </c>
      <c r="E16" s="2" t="s">
        <v>746</v>
      </c>
      <c r="F16" s="2" t="s">
        <v>747</v>
      </c>
      <c r="G16" s="2" t="s">
        <v>748</v>
      </c>
      <c r="H16" s="2" t="s">
        <v>749</v>
      </c>
      <c r="I16" s="2">
        <v>0.61599999999999999</v>
      </c>
      <c r="J16" s="2" t="s">
        <v>680</v>
      </c>
      <c r="K16" s="20" t="s">
        <v>681</v>
      </c>
      <c r="L16" s="4" t="s">
        <v>750</v>
      </c>
      <c r="M16" t="b">
        <v>1</v>
      </c>
    </row>
    <row r="17" spans="1:14" ht="43.5" x14ac:dyDescent="0.35">
      <c r="A17" s="2" t="s">
        <v>99</v>
      </c>
      <c r="B17" s="3" t="s">
        <v>301</v>
      </c>
      <c r="C17" s="3" t="s">
        <v>1</v>
      </c>
      <c r="D17" s="2" t="s">
        <v>100</v>
      </c>
      <c r="E17" s="2" t="s">
        <v>722</v>
      </c>
      <c r="F17" s="2" t="s">
        <v>723</v>
      </c>
      <c r="G17" s="2" t="s">
        <v>724</v>
      </c>
      <c r="H17" s="2" t="s">
        <v>725</v>
      </c>
      <c r="I17" s="2">
        <v>0.78200000000000003</v>
      </c>
      <c r="J17" s="2" t="s">
        <v>680</v>
      </c>
      <c r="K17" s="20" t="s">
        <v>681</v>
      </c>
      <c r="L17" s="4" t="s">
        <v>751</v>
      </c>
      <c r="M17" t="b">
        <v>1</v>
      </c>
    </row>
    <row r="18" spans="1:14" ht="43.5" x14ac:dyDescent="0.35">
      <c r="A18" s="2" t="s">
        <v>104</v>
      </c>
      <c r="B18" s="3" t="s">
        <v>301</v>
      </c>
      <c r="C18" s="3" t="s">
        <v>1</v>
      </c>
      <c r="D18" s="2" t="s">
        <v>105</v>
      </c>
      <c r="E18" s="2" t="s">
        <v>752</v>
      </c>
      <c r="F18" s="2" t="s">
        <v>753</v>
      </c>
      <c r="G18" s="2" t="s">
        <v>754</v>
      </c>
      <c r="H18" s="2" t="s">
        <v>755</v>
      </c>
      <c r="I18" s="2">
        <v>0.56599999999999995</v>
      </c>
      <c r="J18" s="2" t="s">
        <v>680</v>
      </c>
      <c r="K18" s="20" t="s">
        <v>681</v>
      </c>
      <c r="L18" s="4" t="s">
        <v>756</v>
      </c>
      <c r="M18" t="b">
        <v>1</v>
      </c>
    </row>
    <row r="19" spans="1:14" ht="29" x14ac:dyDescent="0.35">
      <c r="A19" s="2" t="s">
        <v>109</v>
      </c>
      <c r="B19" s="3" t="s">
        <v>301</v>
      </c>
      <c r="C19" s="3" t="s">
        <v>1</v>
      </c>
      <c r="D19" s="2" t="s">
        <v>110</v>
      </c>
      <c r="E19" s="2" t="s">
        <v>757</v>
      </c>
      <c r="F19" s="2" t="s">
        <v>758</v>
      </c>
      <c r="G19" s="2" t="s">
        <v>714</v>
      </c>
      <c r="H19" s="2" t="s">
        <v>715</v>
      </c>
      <c r="I19" s="2">
        <v>0.66700000000000004</v>
      </c>
      <c r="J19" s="2" t="s">
        <v>680</v>
      </c>
      <c r="K19" s="20" t="s">
        <v>681</v>
      </c>
      <c r="L19" s="4" t="s">
        <v>759</v>
      </c>
      <c r="M19" t="b">
        <v>1</v>
      </c>
    </row>
    <row r="20" spans="1:14" ht="29" x14ac:dyDescent="0.35">
      <c r="A20" s="2" t="s">
        <v>114</v>
      </c>
      <c r="B20" s="3" t="s">
        <v>301</v>
      </c>
      <c r="C20" s="3" t="s">
        <v>1</v>
      </c>
      <c r="D20" s="2" t="s">
        <v>115</v>
      </c>
      <c r="E20" s="2" t="s">
        <v>760</v>
      </c>
      <c r="F20" s="2" t="s">
        <v>761</v>
      </c>
      <c r="G20" s="2" t="s">
        <v>762</v>
      </c>
      <c r="H20" s="2" t="s">
        <v>763</v>
      </c>
      <c r="I20" s="2">
        <v>0.73799999999999999</v>
      </c>
      <c r="J20" s="2" t="s">
        <v>680</v>
      </c>
      <c r="K20" s="20" t="s">
        <v>681</v>
      </c>
      <c r="L20" s="4" t="s">
        <v>764</v>
      </c>
      <c r="M20" t="b">
        <v>0</v>
      </c>
      <c r="N20" t="s">
        <v>897</v>
      </c>
    </row>
    <row r="21" spans="1:14" ht="43.5" x14ac:dyDescent="0.35">
      <c r="A21" s="2" t="s">
        <v>122</v>
      </c>
      <c r="B21" s="3" t="s">
        <v>301</v>
      </c>
      <c r="C21" s="3" t="s">
        <v>1</v>
      </c>
      <c r="D21" s="2" t="s">
        <v>123</v>
      </c>
      <c r="E21" s="2" t="s">
        <v>765</v>
      </c>
      <c r="F21" s="2" t="s">
        <v>766</v>
      </c>
      <c r="G21" s="2" t="s">
        <v>685</v>
      </c>
      <c r="H21" s="2" t="s">
        <v>686</v>
      </c>
      <c r="I21" s="2">
        <v>0.95</v>
      </c>
      <c r="J21" s="2" t="s">
        <v>707</v>
      </c>
      <c r="K21" s="20" t="s">
        <v>681</v>
      </c>
      <c r="L21" s="4" t="s">
        <v>767</v>
      </c>
      <c r="M21" t="b">
        <v>1</v>
      </c>
    </row>
    <row r="22" spans="1:14" x14ac:dyDescent="0.35">
      <c r="A22" s="2" t="s">
        <v>128</v>
      </c>
      <c r="B22" s="3" t="s">
        <v>301</v>
      </c>
      <c r="C22" s="3" t="s">
        <v>1</v>
      </c>
      <c r="D22" s="2" t="s">
        <v>129</v>
      </c>
      <c r="E22" s="2" t="s">
        <v>768</v>
      </c>
      <c r="F22" s="2" t="s">
        <v>769</v>
      </c>
      <c r="G22" s="2" t="s">
        <v>770</v>
      </c>
      <c r="H22" s="2" t="s">
        <v>771</v>
      </c>
      <c r="I22" s="2">
        <v>0.76700000000000002</v>
      </c>
      <c r="J22" s="2" t="s">
        <v>680</v>
      </c>
      <c r="K22" s="20" t="s">
        <v>681</v>
      </c>
      <c r="L22" s="4" t="s">
        <v>772</v>
      </c>
      <c r="M22" t="b">
        <v>1</v>
      </c>
    </row>
    <row r="23" spans="1:14" ht="29" x14ac:dyDescent="0.35">
      <c r="A23" s="2" t="s">
        <v>135</v>
      </c>
      <c r="B23" s="3" t="s">
        <v>301</v>
      </c>
      <c r="C23" s="3" t="s">
        <v>1</v>
      </c>
      <c r="D23" s="2" t="s">
        <v>136</v>
      </c>
      <c r="E23" s="2" t="s">
        <v>768</v>
      </c>
      <c r="F23" s="2" t="s">
        <v>769</v>
      </c>
      <c r="G23" s="2" t="s">
        <v>770</v>
      </c>
      <c r="H23" s="2" t="s">
        <v>771</v>
      </c>
      <c r="I23" s="2">
        <v>0.63800000000000001</v>
      </c>
      <c r="J23" s="2" t="s">
        <v>773</v>
      </c>
      <c r="K23" s="20" t="s">
        <v>681</v>
      </c>
      <c r="L23" s="4" t="s">
        <v>774</v>
      </c>
      <c r="M23" t="b">
        <v>0</v>
      </c>
      <c r="N23" t="s">
        <v>898</v>
      </c>
    </row>
    <row r="24" spans="1:14" ht="29" x14ac:dyDescent="0.35">
      <c r="A24" s="2" t="s">
        <v>141</v>
      </c>
      <c r="B24" s="3" t="s">
        <v>301</v>
      </c>
      <c r="C24" s="3" t="s">
        <v>1</v>
      </c>
      <c r="D24" s="2" t="s">
        <v>142</v>
      </c>
      <c r="E24" s="2" t="s">
        <v>775</v>
      </c>
      <c r="F24" s="2" t="s">
        <v>776</v>
      </c>
      <c r="G24" s="2" t="s">
        <v>777</v>
      </c>
      <c r="H24" s="2" t="s">
        <v>778</v>
      </c>
      <c r="I24" s="2">
        <v>0.95</v>
      </c>
      <c r="J24" s="2" t="s">
        <v>707</v>
      </c>
      <c r="K24" s="20" t="s">
        <v>681</v>
      </c>
      <c r="L24" s="4" t="s">
        <v>779</v>
      </c>
      <c r="M24" t="b">
        <v>1</v>
      </c>
    </row>
    <row r="25" spans="1:14" x14ac:dyDescent="0.35">
      <c r="A25" s="2" t="s">
        <v>146</v>
      </c>
      <c r="B25" s="3" t="s">
        <v>301</v>
      </c>
      <c r="C25" s="3" t="s">
        <v>1</v>
      </c>
      <c r="D25" s="2" t="s">
        <v>147</v>
      </c>
      <c r="E25" s="2" t="s">
        <v>741</v>
      </c>
      <c r="F25" s="2" t="s">
        <v>742</v>
      </c>
      <c r="G25" s="2" t="s">
        <v>743</v>
      </c>
      <c r="H25" s="2" t="s">
        <v>744</v>
      </c>
      <c r="I25" s="2">
        <v>0.73699999999999999</v>
      </c>
      <c r="J25" s="2" t="s">
        <v>680</v>
      </c>
      <c r="K25" s="20" t="s">
        <v>681</v>
      </c>
      <c r="L25" s="4" t="s">
        <v>780</v>
      </c>
      <c r="M25" t="b">
        <v>0</v>
      </c>
      <c r="N25" t="s">
        <v>744</v>
      </c>
    </row>
    <row r="26" spans="1:14" x14ac:dyDescent="0.35">
      <c r="A26" s="2" t="s">
        <v>151</v>
      </c>
      <c r="B26" s="3" t="s">
        <v>301</v>
      </c>
      <c r="C26" s="3" t="s">
        <v>1</v>
      </c>
      <c r="D26" s="2" t="s">
        <v>152</v>
      </c>
      <c r="E26" s="2" t="s">
        <v>781</v>
      </c>
      <c r="F26" s="2" t="s">
        <v>782</v>
      </c>
      <c r="G26" s="2" t="s">
        <v>777</v>
      </c>
      <c r="H26" s="2" t="s">
        <v>778</v>
      </c>
      <c r="I26" s="2">
        <v>0.76800000000000002</v>
      </c>
      <c r="J26" s="2" t="s">
        <v>680</v>
      </c>
      <c r="K26" s="20" t="s">
        <v>681</v>
      </c>
      <c r="L26" s="4" t="s">
        <v>783</v>
      </c>
      <c r="M26" t="b">
        <v>0</v>
      </c>
      <c r="N26" t="s">
        <v>861</v>
      </c>
    </row>
    <row r="27" spans="1:14" x14ac:dyDescent="0.35">
      <c r="A27" s="2" t="s">
        <v>157</v>
      </c>
      <c r="B27" s="3" t="s">
        <v>301</v>
      </c>
      <c r="C27" s="3" t="s">
        <v>1</v>
      </c>
      <c r="D27" s="2" t="s">
        <v>158</v>
      </c>
      <c r="E27" s="2" t="s">
        <v>784</v>
      </c>
      <c r="F27" s="2" t="s">
        <v>785</v>
      </c>
      <c r="G27" s="2" t="s">
        <v>786</v>
      </c>
      <c r="H27" s="2" t="s">
        <v>787</v>
      </c>
      <c r="I27" s="2">
        <v>0.59899999999999998</v>
      </c>
      <c r="J27" s="2" t="s">
        <v>680</v>
      </c>
      <c r="K27" s="20" t="s">
        <v>681</v>
      </c>
      <c r="L27" s="4" t="s">
        <v>788</v>
      </c>
      <c r="M27" t="b">
        <v>0</v>
      </c>
      <c r="N27" t="s">
        <v>899</v>
      </c>
    </row>
    <row r="28" spans="1:14" x14ac:dyDescent="0.35">
      <c r="A28" s="2" t="s">
        <v>163</v>
      </c>
      <c r="B28" s="3" t="s">
        <v>301</v>
      </c>
      <c r="C28" s="3" t="s">
        <v>1</v>
      </c>
      <c r="D28" s="2" t="s">
        <v>164</v>
      </c>
      <c r="E28" s="2" t="s">
        <v>789</v>
      </c>
      <c r="F28" s="2" t="s">
        <v>790</v>
      </c>
      <c r="G28" s="2" t="s">
        <v>791</v>
      </c>
      <c r="H28" s="2" t="s">
        <v>792</v>
      </c>
      <c r="I28" s="2">
        <v>0.64900000000000002</v>
      </c>
      <c r="J28" s="2" t="s">
        <v>680</v>
      </c>
      <c r="K28" s="20" t="s">
        <v>681</v>
      </c>
      <c r="L28" s="4" t="s">
        <v>793</v>
      </c>
      <c r="M28" t="b">
        <v>1</v>
      </c>
    </row>
    <row r="29" spans="1:14" ht="29" x14ac:dyDescent="0.35">
      <c r="A29" s="2" t="s">
        <v>170</v>
      </c>
      <c r="B29" s="3" t="s">
        <v>301</v>
      </c>
      <c r="C29" s="3" t="s">
        <v>1</v>
      </c>
      <c r="D29" s="2" t="s">
        <v>171</v>
      </c>
      <c r="E29" s="2" t="s">
        <v>794</v>
      </c>
      <c r="F29" s="2" t="s">
        <v>795</v>
      </c>
      <c r="G29" s="2" t="s">
        <v>796</v>
      </c>
      <c r="H29" s="2" t="s">
        <v>797</v>
      </c>
      <c r="I29" s="2">
        <v>0.77900000000000003</v>
      </c>
      <c r="J29" s="2" t="s">
        <v>773</v>
      </c>
      <c r="K29" s="20" t="s">
        <v>681</v>
      </c>
      <c r="L29" s="4" t="s">
        <v>798</v>
      </c>
      <c r="M29" t="b">
        <v>1</v>
      </c>
    </row>
    <row r="30" spans="1:14" x14ac:dyDescent="0.35">
      <c r="A30" s="2" t="s">
        <v>177</v>
      </c>
      <c r="B30" s="3" t="s">
        <v>301</v>
      </c>
      <c r="C30" s="3" t="s">
        <v>1</v>
      </c>
      <c r="D30" s="2" t="s">
        <v>178</v>
      </c>
      <c r="E30" s="2" t="s">
        <v>799</v>
      </c>
      <c r="F30" s="2" t="s">
        <v>800</v>
      </c>
      <c r="G30" s="2" t="s">
        <v>801</v>
      </c>
      <c r="H30" s="2" t="s">
        <v>802</v>
      </c>
      <c r="I30" s="2">
        <v>0.68400000000000005</v>
      </c>
      <c r="J30" s="2" t="s">
        <v>680</v>
      </c>
      <c r="K30" s="20" t="s">
        <v>681</v>
      </c>
      <c r="L30" s="4" t="s">
        <v>793</v>
      </c>
      <c r="M30" t="b">
        <v>1</v>
      </c>
    </row>
    <row r="31" spans="1:14" ht="29" x14ac:dyDescent="0.35">
      <c r="A31" s="2" t="s">
        <v>183</v>
      </c>
      <c r="B31" s="3" t="s">
        <v>301</v>
      </c>
      <c r="C31" s="3" t="s">
        <v>1</v>
      </c>
      <c r="D31" s="2" t="s">
        <v>184</v>
      </c>
      <c r="E31" s="2" t="s">
        <v>803</v>
      </c>
      <c r="F31" s="2" t="s">
        <v>804</v>
      </c>
      <c r="G31" s="2" t="s">
        <v>805</v>
      </c>
      <c r="H31" s="2" t="s">
        <v>806</v>
      </c>
      <c r="I31" s="2">
        <v>0.70099999999999996</v>
      </c>
      <c r="J31" s="2" t="s">
        <v>680</v>
      </c>
      <c r="K31" s="20" t="s">
        <v>681</v>
      </c>
      <c r="L31" s="4" t="s">
        <v>807</v>
      </c>
      <c r="M31" t="b">
        <v>1</v>
      </c>
    </row>
    <row r="32" spans="1:14" x14ac:dyDescent="0.35">
      <c r="A32" s="2" t="s">
        <v>190</v>
      </c>
      <c r="B32" s="3" t="s">
        <v>301</v>
      </c>
      <c r="C32" s="3" t="s">
        <v>1</v>
      </c>
      <c r="D32" s="2" t="s">
        <v>191</v>
      </c>
      <c r="E32" s="2" t="s">
        <v>808</v>
      </c>
      <c r="F32" s="2" t="s">
        <v>809</v>
      </c>
      <c r="G32" s="2" t="s">
        <v>700</v>
      </c>
      <c r="H32" s="2" t="s">
        <v>701</v>
      </c>
      <c r="I32" s="2">
        <v>0.76500000000000001</v>
      </c>
      <c r="J32" s="2" t="s">
        <v>680</v>
      </c>
      <c r="K32" s="20" t="s">
        <v>681</v>
      </c>
      <c r="L32" s="4" t="s">
        <v>783</v>
      </c>
      <c r="M32" t="b">
        <v>0</v>
      </c>
      <c r="N32" t="s">
        <v>900</v>
      </c>
    </row>
    <row r="33" spans="1:14" ht="43.5" x14ac:dyDescent="0.35">
      <c r="A33" s="2" t="s">
        <v>197</v>
      </c>
      <c r="B33" s="3" t="s">
        <v>301</v>
      </c>
      <c r="C33" s="3" t="s">
        <v>1</v>
      </c>
      <c r="D33" s="2" t="s">
        <v>198</v>
      </c>
      <c r="E33" s="2" t="s">
        <v>810</v>
      </c>
      <c r="F33" s="2" t="s">
        <v>811</v>
      </c>
      <c r="G33" s="2" t="s">
        <v>812</v>
      </c>
      <c r="H33" s="2" t="s">
        <v>813</v>
      </c>
      <c r="I33" s="2">
        <v>0.95</v>
      </c>
      <c r="J33" s="2" t="s">
        <v>707</v>
      </c>
      <c r="K33" s="20" t="s">
        <v>681</v>
      </c>
      <c r="L33" s="4" t="s">
        <v>814</v>
      </c>
      <c r="M33" t="b">
        <v>0</v>
      </c>
    </row>
    <row r="34" spans="1:14" x14ac:dyDescent="0.35">
      <c r="A34" s="2" t="s">
        <v>203</v>
      </c>
      <c r="B34" s="3" t="s">
        <v>301</v>
      </c>
      <c r="C34" s="3" t="s">
        <v>1</v>
      </c>
      <c r="D34" s="2" t="s">
        <v>204</v>
      </c>
      <c r="E34" s="2" t="s">
        <v>815</v>
      </c>
      <c r="F34" s="2" t="s">
        <v>816</v>
      </c>
      <c r="G34" s="2" t="s">
        <v>817</v>
      </c>
      <c r="H34" s="2" t="s">
        <v>818</v>
      </c>
      <c r="I34" s="2">
        <v>0.65400000000000003</v>
      </c>
      <c r="J34" s="2" t="s">
        <v>680</v>
      </c>
      <c r="K34" s="20" t="s">
        <v>681</v>
      </c>
      <c r="L34" s="4" t="s">
        <v>783</v>
      </c>
      <c r="M34" t="b">
        <v>1</v>
      </c>
    </row>
    <row r="35" spans="1:14" ht="43.5" x14ac:dyDescent="0.35">
      <c r="A35" s="2" t="s">
        <v>209</v>
      </c>
      <c r="B35" s="3" t="s">
        <v>301</v>
      </c>
      <c r="C35" s="3" t="s">
        <v>1</v>
      </c>
      <c r="D35" s="2" t="s">
        <v>210</v>
      </c>
      <c r="E35" s="2" t="s">
        <v>819</v>
      </c>
      <c r="F35" s="2" t="s">
        <v>820</v>
      </c>
      <c r="G35" s="2" t="s">
        <v>821</v>
      </c>
      <c r="H35" s="2" t="s">
        <v>822</v>
      </c>
      <c r="I35" s="2">
        <v>0.95</v>
      </c>
      <c r="J35" s="2" t="s">
        <v>707</v>
      </c>
      <c r="K35" s="20" t="s">
        <v>681</v>
      </c>
      <c r="L35" s="4" t="s">
        <v>823</v>
      </c>
      <c r="M35" t="b">
        <v>0</v>
      </c>
      <c r="N35" t="s">
        <v>901</v>
      </c>
    </row>
    <row r="36" spans="1:14" x14ac:dyDescent="0.35">
      <c r="A36" s="2" t="s">
        <v>214</v>
      </c>
      <c r="B36" s="3" t="s">
        <v>301</v>
      </c>
      <c r="C36" s="3" t="s">
        <v>1</v>
      </c>
      <c r="D36" s="2" t="s">
        <v>215</v>
      </c>
      <c r="E36" s="2" t="s">
        <v>824</v>
      </c>
      <c r="F36" s="2" t="s">
        <v>825</v>
      </c>
      <c r="G36" s="2" t="s">
        <v>826</v>
      </c>
      <c r="H36" s="2" t="s">
        <v>827</v>
      </c>
      <c r="I36" s="2">
        <v>0.80700000000000005</v>
      </c>
      <c r="J36" s="2" t="s">
        <v>680</v>
      </c>
      <c r="K36" s="20" t="s">
        <v>681</v>
      </c>
      <c r="L36" s="4" t="s">
        <v>783</v>
      </c>
      <c r="M36" t="b">
        <v>1</v>
      </c>
    </row>
    <row r="37" spans="1:14" ht="43.5" x14ac:dyDescent="0.35">
      <c r="A37" s="2" t="s">
        <v>220</v>
      </c>
      <c r="B37" s="3" t="s">
        <v>301</v>
      </c>
      <c r="C37" s="3" t="s">
        <v>1</v>
      </c>
      <c r="D37" s="2" t="s">
        <v>221</v>
      </c>
      <c r="E37" s="2" t="s">
        <v>819</v>
      </c>
      <c r="F37" s="2" t="s">
        <v>820</v>
      </c>
      <c r="G37" s="2" t="s">
        <v>821</v>
      </c>
      <c r="H37" s="2" t="s">
        <v>822</v>
      </c>
      <c r="I37" s="2">
        <v>0.95</v>
      </c>
      <c r="J37" s="2" t="s">
        <v>707</v>
      </c>
      <c r="K37" s="20" t="s">
        <v>681</v>
      </c>
      <c r="L37" s="4" t="s">
        <v>828</v>
      </c>
      <c r="M37" t="b">
        <v>1</v>
      </c>
    </row>
    <row r="38" spans="1:14" ht="29" x14ac:dyDescent="0.35">
      <c r="A38" s="2" t="s">
        <v>225</v>
      </c>
      <c r="B38" s="3" t="s">
        <v>301</v>
      </c>
      <c r="C38" s="3" t="s">
        <v>1</v>
      </c>
      <c r="D38" s="2" t="s">
        <v>226</v>
      </c>
      <c r="E38" s="2" t="s">
        <v>775</v>
      </c>
      <c r="F38" s="2" t="s">
        <v>776</v>
      </c>
      <c r="G38" s="2" t="s">
        <v>777</v>
      </c>
      <c r="H38" s="2" t="s">
        <v>778</v>
      </c>
      <c r="I38" s="2">
        <v>0.76900000000000002</v>
      </c>
      <c r="J38" s="2" t="s">
        <v>773</v>
      </c>
      <c r="K38" s="20" t="s">
        <v>681</v>
      </c>
      <c r="L38" s="4" t="s">
        <v>829</v>
      </c>
      <c r="M38" t="b">
        <v>1</v>
      </c>
    </row>
    <row r="39" spans="1:14" x14ac:dyDescent="0.35">
      <c r="A39" s="2" t="s">
        <v>232</v>
      </c>
      <c r="B39" s="3" t="s">
        <v>301</v>
      </c>
      <c r="C39" s="3" t="s">
        <v>1</v>
      </c>
      <c r="D39" s="2" t="s">
        <v>233</v>
      </c>
      <c r="E39" s="2" t="s">
        <v>830</v>
      </c>
      <c r="F39" s="2" t="s">
        <v>831</v>
      </c>
      <c r="G39" s="2" t="s">
        <v>832</v>
      </c>
      <c r="H39" s="2" t="s">
        <v>833</v>
      </c>
      <c r="I39" s="2">
        <v>0.59</v>
      </c>
      <c r="J39" s="2" t="s">
        <v>680</v>
      </c>
      <c r="K39" s="20" t="s">
        <v>681</v>
      </c>
      <c r="L39" s="4" t="s">
        <v>834</v>
      </c>
      <c r="M39" t="b">
        <v>1</v>
      </c>
    </row>
    <row r="40" spans="1:14" x14ac:dyDescent="0.35">
      <c r="A40" s="2" t="s">
        <v>239</v>
      </c>
      <c r="B40" s="3" t="s">
        <v>301</v>
      </c>
      <c r="C40" s="3" t="s">
        <v>1</v>
      </c>
      <c r="D40" s="2" t="s">
        <v>240</v>
      </c>
      <c r="E40" s="2" t="s">
        <v>835</v>
      </c>
      <c r="F40" s="2" t="s">
        <v>836</v>
      </c>
      <c r="G40" s="2" t="s">
        <v>837</v>
      </c>
      <c r="H40" s="2" t="s">
        <v>838</v>
      </c>
      <c r="I40" s="2">
        <v>0.79200000000000004</v>
      </c>
      <c r="J40" s="2" t="s">
        <v>680</v>
      </c>
      <c r="K40" s="20" t="s">
        <v>681</v>
      </c>
      <c r="L40" s="4" t="s">
        <v>839</v>
      </c>
      <c r="M40" t="b">
        <v>0</v>
      </c>
      <c r="N40" t="s">
        <v>902</v>
      </c>
    </row>
    <row r="41" spans="1:14" x14ac:dyDescent="0.35">
      <c r="A41" s="2" t="s">
        <v>244</v>
      </c>
      <c r="B41" s="3" t="s">
        <v>301</v>
      </c>
      <c r="C41" s="3" t="s">
        <v>1</v>
      </c>
      <c r="D41" s="2" t="s">
        <v>245</v>
      </c>
      <c r="E41" s="2" t="s">
        <v>840</v>
      </c>
      <c r="F41" s="2" t="s">
        <v>841</v>
      </c>
      <c r="G41" s="2" t="s">
        <v>842</v>
      </c>
      <c r="H41" s="2" t="s">
        <v>843</v>
      </c>
      <c r="I41" s="2">
        <v>0.74099999999999999</v>
      </c>
      <c r="J41" s="2" t="s">
        <v>680</v>
      </c>
      <c r="K41" s="20" t="s">
        <v>681</v>
      </c>
      <c r="L41" s="4" t="s">
        <v>793</v>
      </c>
      <c r="M41" t="b">
        <v>0</v>
      </c>
      <c r="N41" t="s">
        <v>903</v>
      </c>
    </row>
    <row r="42" spans="1:14" ht="29" x14ac:dyDescent="0.35">
      <c r="A42" s="2" t="s">
        <v>250</v>
      </c>
      <c r="B42" s="3" t="s">
        <v>301</v>
      </c>
      <c r="C42" s="3" t="s">
        <v>1</v>
      </c>
      <c r="D42" s="2" t="s">
        <v>251</v>
      </c>
      <c r="E42" s="2" t="s">
        <v>844</v>
      </c>
      <c r="F42" s="2" t="s">
        <v>845</v>
      </c>
      <c r="G42" s="2" t="s">
        <v>678</v>
      </c>
      <c r="H42" s="2" t="s">
        <v>679</v>
      </c>
      <c r="I42" s="2">
        <v>0.95</v>
      </c>
      <c r="J42" s="2" t="s">
        <v>707</v>
      </c>
      <c r="K42" s="20" t="s">
        <v>681</v>
      </c>
      <c r="L42" s="4" t="s">
        <v>846</v>
      </c>
      <c r="M42" t="b">
        <v>1</v>
      </c>
    </row>
    <row r="43" spans="1:14" x14ac:dyDescent="0.35">
      <c r="A43" s="2" t="s">
        <v>257</v>
      </c>
      <c r="B43" s="3" t="s">
        <v>301</v>
      </c>
      <c r="C43" s="3" t="s">
        <v>1</v>
      </c>
      <c r="D43" s="2" t="s">
        <v>258</v>
      </c>
      <c r="E43" s="2" t="s">
        <v>722</v>
      </c>
      <c r="F43" s="2" t="s">
        <v>723</v>
      </c>
      <c r="G43" s="2" t="s">
        <v>724</v>
      </c>
      <c r="H43" s="2" t="s">
        <v>725</v>
      </c>
      <c r="I43" s="2">
        <v>0.63900000000000001</v>
      </c>
      <c r="J43" s="2" t="s">
        <v>680</v>
      </c>
      <c r="K43" s="20" t="s">
        <v>681</v>
      </c>
      <c r="L43" s="4" t="s">
        <v>793</v>
      </c>
      <c r="M43" t="b">
        <v>1</v>
      </c>
    </row>
    <row r="44" spans="1:14" x14ac:dyDescent="0.35">
      <c r="A44" s="2" t="s">
        <v>262</v>
      </c>
      <c r="B44" s="3" t="s">
        <v>301</v>
      </c>
      <c r="C44" s="3" t="s">
        <v>1</v>
      </c>
      <c r="D44" s="2" t="s">
        <v>263</v>
      </c>
      <c r="E44" s="2" t="s">
        <v>847</v>
      </c>
      <c r="F44" s="2" t="s">
        <v>848</v>
      </c>
      <c r="G44" s="2" t="s">
        <v>849</v>
      </c>
      <c r="H44" s="2" t="s">
        <v>850</v>
      </c>
      <c r="I44" s="2">
        <v>0.83899999999999997</v>
      </c>
      <c r="J44" s="2" t="s">
        <v>680</v>
      </c>
      <c r="K44" s="20" t="s">
        <v>681</v>
      </c>
      <c r="L44" s="4" t="s">
        <v>793</v>
      </c>
      <c r="M44" t="b">
        <v>0</v>
      </c>
      <c r="N44" t="s">
        <v>904</v>
      </c>
    </row>
    <row r="45" spans="1:14" ht="43.5" x14ac:dyDescent="0.35">
      <c r="A45" s="2" t="s">
        <v>267</v>
      </c>
      <c r="B45" s="3" t="s">
        <v>301</v>
      </c>
      <c r="C45" s="3" t="s">
        <v>1</v>
      </c>
      <c r="D45" s="2" t="s">
        <v>268</v>
      </c>
      <c r="E45" s="2" t="s">
        <v>851</v>
      </c>
      <c r="F45" s="2" t="s">
        <v>852</v>
      </c>
      <c r="G45" s="2" t="s">
        <v>853</v>
      </c>
      <c r="H45" s="2" t="s">
        <v>854</v>
      </c>
      <c r="I45" s="2">
        <v>0.95</v>
      </c>
      <c r="J45" s="2" t="s">
        <v>707</v>
      </c>
      <c r="K45" s="20" t="s">
        <v>681</v>
      </c>
      <c r="L45" s="4" t="s">
        <v>855</v>
      </c>
      <c r="M45" t="b">
        <v>0</v>
      </c>
      <c r="N45" t="s">
        <v>905</v>
      </c>
    </row>
    <row r="46" spans="1:14" x14ac:dyDescent="0.35">
      <c r="A46" s="2" t="s">
        <v>274</v>
      </c>
      <c r="B46" s="3" t="s">
        <v>301</v>
      </c>
      <c r="C46" s="3" t="s">
        <v>1</v>
      </c>
      <c r="D46" s="2" t="s">
        <v>275</v>
      </c>
      <c r="E46" s="2" t="s">
        <v>856</v>
      </c>
      <c r="F46" s="2" t="s">
        <v>857</v>
      </c>
      <c r="G46" s="2" t="s">
        <v>858</v>
      </c>
      <c r="H46" s="2" t="s">
        <v>859</v>
      </c>
      <c r="I46" s="2">
        <v>0.68799999999999994</v>
      </c>
      <c r="J46" s="2" t="s">
        <v>680</v>
      </c>
      <c r="K46" s="20" t="s">
        <v>681</v>
      </c>
      <c r="L46" s="4" t="s">
        <v>793</v>
      </c>
      <c r="M46" t="b">
        <v>1</v>
      </c>
    </row>
    <row r="47" spans="1:14" x14ac:dyDescent="0.35">
      <c r="A47" s="2" t="s">
        <v>280</v>
      </c>
      <c r="B47" s="3" t="s">
        <v>301</v>
      </c>
      <c r="C47" s="3" t="s">
        <v>1</v>
      </c>
      <c r="D47" s="2" t="s">
        <v>281</v>
      </c>
      <c r="E47" s="2" t="s">
        <v>844</v>
      </c>
      <c r="F47" s="2" t="s">
        <v>845</v>
      </c>
      <c r="G47" s="2" t="s">
        <v>678</v>
      </c>
      <c r="H47" s="2" t="s">
        <v>679</v>
      </c>
      <c r="I47" s="2">
        <v>0.63200000000000001</v>
      </c>
      <c r="J47" s="2" t="s">
        <v>680</v>
      </c>
      <c r="K47" s="20" t="s">
        <v>681</v>
      </c>
      <c r="L47" s="4" t="s">
        <v>793</v>
      </c>
      <c r="M47" t="b">
        <v>1</v>
      </c>
    </row>
    <row r="48" spans="1:14" x14ac:dyDescent="0.35">
      <c r="A48" s="2" t="s">
        <v>286</v>
      </c>
      <c r="B48" s="3" t="s">
        <v>301</v>
      </c>
      <c r="C48" s="3" t="s">
        <v>1</v>
      </c>
      <c r="D48" s="2" t="s">
        <v>287</v>
      </c>
      <c r="E48" s="2" t="s">
        <v>732</v>
      </c>
      <c r="F48" s="2" t="s">
        <v>733</v>
      </c>
      <c r="G48" s="2" t="s">
        <v>734</v>
      </c>
      <c r="H48" s="2" t="s">
        <v>735</v>
      </c>
      <c r="I48" s="2">
        <v>0.745</v>
      </c>
      <c r="J48" s="2" t="s">
        <v>680</v>
      </c>
      <c r="K48" s="20" t="s">
        <v>681</v>
      </c>
      <c r="L48" s="4" t="s">
        <v>793</v>
      </c>
      <c r="M48" t="b">
        <v>0</v>
      </c>
      <c r="N48" t="s">
        <v>445</v>
      </c>
    </row>
    <row r="49" spans="1:13" ht="29" x14ac:dyDescent="0.35">
      <c r="A49" s="2" t="s">
        <v>292</v>
      </c>
      <c r="B49" s="3" t="s">
        <v>301</v>
      </c>
      <c r="C49" s="3" t="s">
        <v>1</v>
      </c>
      <c r="D49" s="2" t="s">
        <v>293</v>
      </c>
      <c r="E49" s="2" t="s">
        <v>844</v>
      </c>
      <c r="F49" s="2" t="s">
        <v>845</v>
      </c>
      <c r="G49" s="2" t="s">
        <v>678</v>
      </c>
      <c r="H49" s="2" t="s">
        <v>679</v>
      </c>
      <c r="I49" s="2">
        <v>0.95</v>
      </c>
      <c r="J49" s="2" t="s">
        <v>707</v>
      </c>
      <c r="K49" s="20" t="s">
        <v>681</v>
      </c>
      <c r="L49" s="4" t="s">
        <v>860</v>
      </c>
      <c r="M49" t="b">
        <v>1</v>
      </c>
    </row>
    <row r="50" spans="1:13" x14ac:dyDescent="0.35">
      <c r="A50" s="2" t="s">
        <v>297</v>
      </c>
      <c r="B50" s="3" t="s">
        <v>301</v>
      </c>
      <c r="C50" s="3" t="s">
        <v>1</v>
      </c>
      <c r="D50" s="2" t="s">
        <v>298</v>
      </c>
      <c r="E50" s="2" t="s">
        <v>861</v>
      </c>
      <c r="F50" s="2" t="s">
        <v>862</v>
      </c>
      <c r="G50" s="2" t="s">
        <v>863</v>
      </c>
      <c r="H50" s="2" t="s">
        <v>864</v>
      </c>
      <c r="I50" s="2">
        <v>0.68300000000000005</v>
      </c>
      <c r="J50" s="2" t="s">
        <v>680</v>
      </c>
      <c r="K50" s="20" t="s">
        <v>681</v>
      </c>
      <c r="L50" s="4" t="s">
        <v>865</v>
      </c>
      <c r="M50" t="b">
        <v>1</v>
      </c>
    </row>
  </sheetData>
  <hyperlinks>
    <hyperlink ref="B2" location="'01_Ofertas_Originales'!A2" display="→ Oferta" xr:uid="{00000000-0004-0000-0300-000000000000}"/>
    <hyperlink ref="C2" location="'02_NLP_Extraccion'!A2" display="→ NLP" xr:uid="{00000000-0004-0000-0300-000001000000}"/>
    <hyperlink ref="B3" location="'01_Ofertas_Originales'!A3" display="→ Oferta" xr:uid="{00000000-0004-0000-0300-000002000000}"/>
    <hyperlink ref="C3" location="'02_NLP_Extraccion'!A3" display="→ NLP" xr:uid="{00000000-0004-0000-0300-000003000000}"/>
    <hyperlink ref="B4" location="'01_Ofertas_Originales'!A4" display="→ Oferta" xr:uid="{00000000-0004-0000-0300-000004000000}"/>
    <hyperlink ref="C4" location="'02_NLP_Extraccion'!A4" display="→ NLP" xr:uid="{00000000-0004-0000-0300-000005000000}"/>
    <hyperlink ref="B5" location="'01_Ofertas_Originales'!A5" display="→ Oferta" xr:uid="{00000000-0004-0000-0300-000006000000}"/>
    <hyperlink ref="C5" location="'02_NLP_Extraccion'!A5" display="→ NLP" xr:uid="{00000000-0004-0000-0300-000007000000}"/>
    <hyperlink ref="B6" location="'01_Ofertas_Originales'!A6" display="→ Oferta" xr:uid="{00000000-0004-0000-0300-000008000000}"/>
    <hyperlink ref="C6" location="'02_NLP_Extraccion'!A6" display="→ NLP" xr:uid="{00000000-0004-0000-0300-000009000000}"/>
    <hyperlink ref="B7" location="'01_Ofertas_Originales'!A7" display="→ Oferta" xr:uid="{00000000-0004-0000-0300-00000A000000}"/>
    <hyperlink ref="C7" location="'02_NLP_Extraccion'!A7" display="→ NLP" xr:uid="{00000000-0004-0000-0300-00000B000000}"/>
    <hyperlink ref="B8" location="'01_Ofertas_Originales'!A8" display="→ Oferta" xr:uid="{00000000-0004-0000-0300-00000C000000}"/>
    <hyperlink ref="C8" location="'02_NLP_Extraccion'!A8" display="→ NLP" xr:uid="{00000000-0004-0000-0300-00000D000000}"/>
    <hyperlink ref="B9" location="'01_Ofertas_Originales'!A9" display="→ Oferta" xr:uid="{00000000-0004-0000-0300-00000E000000}"/>
    <hyperlink ref="C9" location="'02_NLP_Extraccion'!A9" display="→ NLP" xr:uid="{00000000-0004-0000-0300-00000F000000}"/>
    <hyperlink ref="B10" location="'01_Ofertas_Originales'!A10" display="→ Oferta" xr:uid="{00000000-0004-0000-0300-000010000000}"/>
    <hyperlink ref="C10" location="'02_NLP_Extraccion'!A10" display="→ NLP" xr:uid="{00000000-0004-0000-0300-000011000000}"/>
    <hyperlink ref="B11" location="'01_Ofertas_Originales'!A11" display="→ Oferta" xr:uid="{00000000-0004-0000-0300-000012000000}"/>
    <hyperlink ref="C11" location="'02_NLP_Extraccion'!A11" display="→ NLP" xr:uid="{00000000-0004-0000-0300-000013000000}"/>
    <hyperlink ref="B12" location="'01_Ofertas_Originales'!A12" display="→ Oferta" xr:uid="{00000000-0004-0000-0300-000014000000}"/>
    <hyperlink ref="C12" location="'02_NLP_Extraccion'!A12" display="→ NLP" xr:uid="{00000000-0004-0000-0300-000015000000}"/>
    <hyperlink ref="B13" location="'01_Ofertas_Originales'!A13" display="→ Oferta" xr:uid="{00000000-0004-0000-0300-000016000000}"/>
    <hyperlink ref="C13" location="'02_NLP_Extraccion'!A13" display="→ NLP" xr:uid="{00000000-0004-0000-0300-000017000000}"/>
    <hyperlink ref="B14" location="'01_Ofertas_Originales'!A14" display="→ Oferta" xr:uid="{00000000-0004-0000-0300-000018000000}"/>
    <hyperlink ref="C14" location="'02_NLP_Extraccion'!A14" display="→ NLP" xr:uid="{00000000-0004-0000-0300-000019000000}"/>
    <hyperlink ref="B15" location="'01_Ofertas_Originales'!A15" display="→ Oferta" xr:uid="{00000000-0004-0000-0300-00001A000000}"/>
    <hyperlink ref="C15" location="'02_NLP_Extraccion'!A15" display="→ NLP" xr:uid="{00000000-0004-0000-0300-00001B000000}"/>
    <hyperlink ref="B16" location="'01_Ofertas_Originales'!A16" display="→ Oferta" xr:uid="{00000000-0004-0000-0300-00001C000000}"/>
    <hyperlink ref="C16" location="'02_NLP_Extraccion'!A16" display="→ NLP" xr:uid="{00000000-0004-0000-0300-00001D000000}"/>
    <hyperlink ref="B17" location="'01_Ofertas_Originales'!A17" display="→ Oferta" xr:uid="{00000000-0004-0000-0300-00001E000000}"/>
    <hyperlink ref="C17" location="'02_NLP_Extraccion'!A17" display="→ NLP" xr:uid="{00000000-0004-0000-0300-00001F000000}"/>
    <hyperlink ref="B18" location="'01_Ofertas_Originales'!A18" display="→ Oferta" xr:uid="{00000000-0004-0000-0300-000020000000}"/>
    <hyperlink ref="C18" location="'02_NLP_Extraccion'!A18" display="→ NLP" xr:uid="{00000000-0004-0000-0300-000021000000}"/>
    <hyperlink ref="B19" location="'01_Ofertas_Originales'!A19" display="→ Oferta" xr:uid="{00000000-0004-0000-0300-000022000000}"/>
    <hyperlink ref="C19" location="'02_NLP_Extraccion'!A19" display="→ NLP" xr:uid="{00000000-0004-0000-0300-000023000000}"/>
    <hyperlink ref="B20" location="'01_Ofertas_Originales'!A20" display="→ Oferta" xr:uid="{00000000-0004-0000-0300-000024000000}"/>
    <hyperlink ref="C20" location="'02_NLP_Extraccion'!A20" display="→ NLP" xr:uid="{00000000-0004-0000-0300-000025000000}"/>
    <hyperlink ref="B21" location="'01_Ofertas_Originales'!A21" display="→ Oferta" xr:uid="{00000000-0004-0000-0300-000026000000}"/>
    <hyperlink ref="C21" location="'02_NLP_Extraccion'!A21" display="→ NLP" xr:uid="{00000000-0004-0000-0300-000027000000}"/>
    <hyperlink ref="B22" location="'01_Ofertas_Originales'!A22" display="→ Oferta" xr:uid="{00000000-0004-0000-0300-000028000000}"/>
    <hyperlink ref="C22" location="'02_NLP_Extraccion'!A22" display="→ NLP" xr:uid="{00000000-0004-0000-0300-000029000000}"/>
    <hyperlink ref="B23" location="'01_Ofertas_Originales'!A23" display="→ Oferta" xr:uid="{00000000-0004-0000-0300-00002A000000}"/>
    <hyperlink ref="C23" location="'02_NLP_Extraccion'!A23" display="→ NLP" xr:uid="{00000000-0004-0000-0300-00002B000000}"/>
    <hyperlink ref="B24" location="'01_Ofertas_Originales'!A24" display="→ Oferta" xr:uid="{00000000-0004-0000-0300-00002C000000}"/>
    <hyperlink ref="C24" location="'02_NLP_Extraccion'!A24" display="→ NLP" xr:uid="{00000000-0004-0000-0300-00002D000000}"/>
    <hyperlink ref="B25" location="'01_Ofertas_Originales'!A25" display="→ Oferta" xr:uid="{00000000-0004-0000-0300-00002E000000}"/>
    <hyperlink ref="C25" location="'02_NLP_Extraccion'!A25" display="→ NLP" xr:uid="{00000000-0004-0000-0300-00002F000000}"/>
    <hyperlink ref="B26" location="'01_Ofertas_Originales'!A26" display="→ Oferta" xr:uid="{00000000-0004-0000-0300-000030000000}"/>
    <hyperlink ref="C26" location="'02_NLP_Extraccion'!A26" display="→ NLP" xr:uid="{00000000-0004-0000-0300-000031000000}"/>
    <hyperlink ref="B27" location="'01_Ofertas_Originales'!A27" display="→ Oferta" xr:uid="{00000000-0004-0000-0300-000032000000}"/>
    <hyperlink ref="C27" location="'02_NLP_Extraccion'!A27" display="→ NLP" xr:uid="{00000000-0004-0000-0300-000033000000}"/>
    <hyperlink ref="B28" location="'01_Ofertas_Originales'!A28" display="→ Oferta" xr:uid="{00000000-0004-0000-0300-000034000000}"/>
    <hyperlink ref="C28" location="'02_NLP_Extraccion'!A28" display="→ NLP" xr:uid="{00000000-0004-0000-0300-000035000000}"/>
    <hyperlink ref="B29" location="'01_Ofertas_Originales'!A29" display="→ Oferta" xr:uid="{00000000-0004-0000-0300-000036000000}"/>
    <hyperlink ref="C29" location="'02_NLP_Extraccion'!A29" display="→ NLP" xr:uid="{00000000-0004-0000-0300-000037000000}"/>
    <hyperlink ref="B30" location="'01_Ofertas_Originales'!A30" display="→ Oferta" xr:uid="{00000000-0004-0000-0300-000038000000}"/>
    <hyperlink ref="C30" location="'02_NLP_Extraccion'!A30" display="→ NLP" xr:uid="{00000000-0004-0000-0300-000039000000}"/>
    <hyperlink ref="B31" location="'01_Ofertas_Originales'!A31" display="→ Oferta" xr:uid="{00000000-0004-0000-0300-00003A000000}"/>
    <hyperlink ref="C31" location="'02_NLP_Extraccion'!A31" display="→ NLP" xr:uid="{00000000-0004-0000-0300-00003B000000}"/>
    <hyperlink ref="B32" location="'01_Ofertas_Originales'!A32" display="→ Oferta" xr:uid="{00000000-0004-0000-0300-00003C000000}"/>
    <hyperlink ref="C32" location="'02_NLP_Extraccion'!A32" display="→ NLP" xr:uid="{00000000-0004-0000-0300-00003D000000}"/>
    <hyperlink ref="B33" location="'01_Ofertas_Originales'!A33" display="→ Oferta" xr:uid="{00000000-0004-0000-0300-00003E000000}"/>
    <hyperlink ref="C33" location="'02_NLP_Extraccion'!A33" display="→ NLP" xr:uid="{00000000-0004-0000-0300-00003F000000}"/>
    <hyperlink ref="B34" location="'01_Ofertas_Originales'!A34" display="→ Oferta" xr:uid="{00000000-0004-0000-0300-000040000000}"/>
    <hyperlink ref="C34" location="'02_NLP_Extraccion'!A34" display="→ NLP" xr:uid="{00000000-0004-0000-0300-000041000000}"/>
    <hyperlink ref="B35" location="'01_Ofertas_Originales'!A35" display="→ Oferta" xr:uid="{00000000-0004-0000-0300-000042000000}"/>
    <hyperlink ref="C35" location="'02_NLP_Extraccion'!A35" display="→ NLP" xr:uid="{00000000-0004-0000-0300-000043000000}"/>
    <hyperlink ref="B36" location="'01_Ofertas_Originales'!A36" display="→ Oferta" xr:uid="{00000000-0004-0000-0300-000044000000}"/>
    <hyperlink ref="C36" location="'02_NLP_Extraccion'!A36" display="→ NLP" xr:uid="{00000000-0004-0000-0300-000045000000}"/>
    <hyperlink ref="B37" location="'01_Ofertas_Originales'!A37" display="→ Oferta" xr:uid="{00000000-0004-0000-0300-000046000000}"/>
    <hyperlink ref="C37" location="'02_NLP_Extraccion'!A37" display="→ NLP" xr:uid="{00000000-0004-0000-0300-000047000000}"/>
    <hyperlink ref="B38" location="'01_Ofertas_Originales'!A38" display="→ Oferta" xr:uid="{00000000-0004-0000-0300-000048000000}"/>
    <hyperlink ref="C38" location="'02_NLP_Extraccion'!A38" display="→ NLP" xr:uid="{00000000-0004-0000-0300-000049000000}"/>
    <hyperlink ref="B39" location="'01_Ofertas_Originales'!A39" display="→ Oferta" xr:uid="{00000000-0004-0000-0300-00004A000000}"/>
    <hyperlink ref="C39" location="'02_NLP_Extraccion'!A39" display="→ NLP" xr:uid="{00000000-0004-0000-0300-00004B000000}"/>
    <hyperlink ref="B40" location="'01_Ofertas_Originales'!A40" display="→ Oferta" xr:uid="{00000000-0004-0000-0300-00004C000000}"/>
    <hyperlink ref="C40" location="'02_NLP_Extraccion'!A40" display="→ NLP" xr:uid="{00000000-0004-0000-0300-00004D000000}"/>
    <hyperlink ref="B41" location="'01_Ofertas_Originales'!A41" display="→ Oferta" xr:uid="{00000000-0004-0000-0300-00004E000000}"/>
    <hyperlink ref="C41" location="'02_NLP_Extraccion'!A41" display="→ NLP" xr:uid="{00000000-0004-0000-0300-00004F000000}"/>
    <hyperlink ref="B42" location="'01_Ofertas_Originales'!A42" display="→ Oferta" xr:uid="{00000000-0004-0000-0300-000050000000}"/>
    <hyperlink ref="C42" location="'02_NLP_Extraccion'!A42" display="→ NLP" xr:uid="{00000000-0004-0000-0300-000051000000}"/>
    <hyperlink ref="B43" location="'01_Ofertas_Originales'!A43" display="→ Oferta" xr:uid="{00000000-0004-0000-0300-000052000000}"/>
    <hyperlink ref="C43" location="'02_NLP_Extraccion'!A43" display="→ NLP" xr:uid="{00000000-0004-0000-0300-000053000000}"/>
    <hyperlink ref="B44" location="'01_Ofertas_Originales'!A44" display="→ Oferta" xr:uid="{00000000-0004-0000-0300-000054000000}"/>
    <hyperlink ref="C44" location="'02_NLP_Extraccion'!A44" display="→ NLP" xr:uid="{00000000-0004-0000-0300-000055000000}"/>
    <hyperlink ref="B45" location="'01_Ofertas_Originales'!A45" display="→ Oferta" xr:uid="{00000000-0004-0000-0300-000056000000}"/>
    <hyperlink ref="C45" location="'02_NLP_Extraccion'!A45" display="→ NLP" xr:uid="{00000000-0004-0000-0300-000057000000}"/>
    <hyperlink ref="B46" location="'01_Ofertas_Originales'!A46" display="→ Oferta" xr:uid="{00000000-0004-0000-0300-000058000000}"/>
    <hyperlink ref="C46" location="'02_NLP_Extraccion'!A46" display="→ NLP" xr:uid="{00000000-0004-0000-0300-000059000000}"/>
    <hyperlink ref="B47" location="'01_Ofertas_Originales'!A47" display="→ Oferta" xr:uid="{00000000-0004-0000-0300-00005A000000}"/>
    <hyperlink ref="C47" location="'02_NLP_Extraccion'!A47" display="→ NLP" xr:uid="{00000000-0004-0000-0300-00005B000000}"/>
    <hyperlink ref="B48" location="'01_Ofertas_Originales'!A48" display="→ Oferta" xr:uid="{00000000-0004-0000-0300-00005C000000}"/>
    <hyperlink ref="C48" location="'02_NLP_Extraccion'!A48" display="→ NLP" xr:uid="{00000000-0004-0000-0300-00005D000000}"/>
    <hyperlink ref="B49" location="'01_Ofertas_Originales'!A49" display="→ Oferta" xr:uid="{00000000-0004-0000-0300-00005E000000}"/>
    <hyperlink ref="C49" location="'02_NLP_Extraccion'!A49" display="→ NLP" xr:uid="{00000000-0004-0000-0300-00005F000000}"/>
    <hyperlink ref="B50" location="'01_Ofertas_Originales'!A50" display="→ Oferta" xr:uid="{00000000-0004-0000-0300-000060000000}"/>
    <hyperlink ref="C50" location="'02_NLP_Extraccion'!A50" display="→ NLP" xr:uid="{00000000-0004-0000-0300-000061000000}"/>
  </hyperlinks>
  <pageMargins left="0.75" right="0.75" top="1" bottom="1"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31"/>
  <sheetViews>
    <sheetView topLeftCell="A21" workbookViewId="0">
      <selection activeCell="A12" sqref="A12"/>
    </sheetView>
  </sheetViews>
  <sheetFormatPr baseColWidth="10" defaultColWidth="9.1796875" defaultRowHeight="14.5" x14ac:dyDescent="0.35"/>
  <cols>
    <col min="1" max="1" width="35" customWidth="1"/>
    <col min="2" max="2" width="15" customWidth="1"/>
    <col min="3" max="3" width="10" customWidth="1"/>
  </cols>
  <sheetData>
    <row r="1" spans="1:4" ht="18.5" x14ac:dyDescent="0.45">
      <c r="A1" s="114" t="s">
        <v>866</v>
      </c>
      <c r="B1" s="115"/>
      <c r="C1" s="115"/>
      <c r="D1" s="115"/>
    </row>
    <row r="2" spans="1:4" x14ac:dyDescent="0.35">
      <c r="A2" t="s">
        <v>867</v>
      </c>
      <c r="B2" t="s">
        <v>868</v>
      </c>
    </row>
    <row r="4" spans="1:4" ht="15.5" x14ac:dyDescent="0.35">
      <c r="A4" s="21" t="s">
        <v>869</v>
      </c>
    </row>
    <row r="5" spans="1:4" x14ac:dyDescent="0.35">
      <c r="A5" t="s">
        <v>870</v>
      </c>
      <c r="B5">
        <v>49</v>
      </c>
    </row>
    <row r="6" spans="1:4" x14ac:dyDescent="0.35">
      <c r="A6" t="s">
        <v>871</v>
      </c>
      <c r="B6">
        <v>49</v>
      </c>
    </row>
    <row r="7" spans="1:4" x14ac:dyDescent="0.35">
      <c r="A7" t="s">
        <v>872</v>
      </c>
      <c r="B7" s="22" t="s">
        <v>873</v>
      </c>
    </row>
    <row r="8" spans="1:4" x14ac:dyDescent="0.35">
      <c r="A8" t="s">
        <v>874</v>
      </c>
      <c r="B8" t="s">
        <v>875</v>
      </c>
    </row>
    <row r="10" spans="1:4" ht="15.5" x14ac:dyDescent="0.35">
      <c r="A10" s="21" t="s">
        <v>876</v>
      </c>
    </row>
    <row r="11" spans="1:4" x14ac:dyDescent="0.35">
      <c r="A11" t="s">
        <v>303</v>
      </c>
      <c r="B11" t="s">
        <v>877</v>
      </c>
      <c r="C11" t="s">
        <v>878</v>
      </c>
    </row>
    <row r="12" spans="1:4" x14ac:dyDescent="0.35">
      <c r="A12" t="s">
        <v>304</v>
      </c>
      <c r="B12" t="s">
        <v>879</v>
      </c>
      <c r="C12" t="s">
        <v>880</v>
      </c>
    </row>
    <row r="13" spans="1:4" x14ac:dyDescent="0.35">
      <c r="A13" t="s">
        <v>312</v>
      </c>
      <c r="B13" t="s">
        <v>881</v>
      </c>
      <c r="C13" t="s">
        <v>882</v>
      </c>
    </row>
    <row r="14" spans="1:4" x14ac:dyDescent="0.35">
      <c r="A14" t="s">
        <v>313</v>
      </c>
      <c r="B14" t="s">
        <v>877</v>
      </c>
      <c r="C14" t="s">
        <v>878</v>
      </c>
    </row>
    <row r="15" spans="1:4" x14ac:dyDescent="0.35">
      <c r="A15" t="s">
        <v>318</v>
      </c>
      <c r="B15" t="s">
        <v>881</v>
      </c>
      <c r="C15" t="s">
        <v>882</v>
      </c>
    </row>
    <row r="16" spans="1:4" x14ac:dyDescent="0.35">
      <c r="A16" t="s">
        <v>320</v>
      </c>
      <c r="B16" t="s">
        <v>883</v>
      </c>
      <c r="C16" t="s">
        <v>884</v>
      </c>
    </row>
    <row r="17" spans="1:3" x14ac:dyDescent="0.35">
      <c r="A17" t="s">
        <v>323</v>
      </c>
      <c r="B17" t="s">
        <v>885</v>
      </c>
      <c r="C17" t="s">
        <v>886</v>
      </c>
    </row>
    <row r="18" spans="1:3" x14ac:dyDescent="0.35">
      <c r="A18" t="s">
        <v>329</v>
      </c>
      <c r="B18" t="s">
        <v>887</v>
      </c>
      <c r="C18" t="s">
        <v>888</v>
      </c>
    </row>
    <row r="19" spans="1:3" x14ac:dyDescent="0.35">
      <c r="A19" t="s">
        <v>330</v>
      </c>
      <c r="B19" t="s">
        <v>889</v>
      </c>
      <c r="C19" t="s">
        <v>890</v>
      </c>
    </row>
    <row r="22" spans="1:3" ht="15.5" x14ac:dyDescent="0.35">
      <c r="A22" s="21" t="s">
        <v>891</v>
      </c>
    </row>
    <row r="23" spans="1:3" x14ac:dyDescent="0.35">
      <c r="A23" t="s">
        <v>354</v>
      </c>
      <c r="B23">
        <v>14</v>
      </c>
    </row>
    <row r="24" spans="1:3" x14ac:dyDescent="0.35">
      <c r="A24" t="s">
        <v>380</v>
      </c>
      <c r="B24">
        <v>12</v>
      </c>
    </row>
    <row r="25" spans="1:3" x14ac:dyDescent="0.35">
      <c r="A25" t="s">
        <v>439</v>
      </c>
      <c r="B25">
        <v>10</v>
      </c>
    </row>
    <row r="26" spans="1:3" x14ac:dyDescent="0.35">
      <c r="A26" t="s">
        <v>394</v>
      </c>
      <c r="B26">
        <v>3</v>
      </c>
    </row>
    <row r="27" spans="1:3" x14ac:dyDescent="0.35">
      <c r="A27" t="s">
        <v>447</v>
      </c>
      <c r="B27">
        <v>3</v>
      </c>
    </row>
    <row r="28" spans="1:3" x14ac:dyDescent="0.35">
      <c r="A28" t="s">
        <v>431</v>
      </c>
      <c r="B28">
        <v>2</v>
      </c>
    </row>
    <row r="29" spans="1:3" x14ac:dyDescent="0.35">
      <c r="A29" t="s">
        <v>486</v>
      </c>
      <c r="B29">
        <v>2</v>
      </c>
    </row>
    <row r="30" spans="1:3" x14ac:dyDescent="0.35">
      <c r="A30" t="s">
        <v>363</v>
      </c>
      <c r="B30">
        <v>1</v>
      </c>
    </row>
    <row r="31" spans="1:3" x14ac:dyDescent="0.35">
      <c r="A31" t="s">
        <v>598</v>
      </c>
      <c r="B31">
        <v>1</v>
      </c>
    </row>
  </sheetData>
  <mergeCells count="1">
    <mergeCell ref="A1:D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1144D-832F-400C-BE94-A61420DCCCEA}">
  <sheetPr>
    <tabColor rgb="FFFF6B6B"/>
  </sheetPr>
  <dimension ref="A1:G21"/>
  <sheetViews>
    <sheetView workbookViewId="0">
      <pane ySplit="1" topLeftCell="A22" activePane="bottomLeft" state="frozen"/>
      <selection pane="bottomLeft" activeCell="B21" sqref="B21"/>
    </sheetView>
  </sheetViews>
  <sheetFormatPr baseColWidth="10" defaultRowHeight="14.5" x14ac:dyDescent="0.35"/>
  <cols>
    <col min="1" max="1" width="35.81640625" bestFit="1" customWidth="1"/>
    <col min="2" max="2" width="143.54296875" bestFit="1" customWidth="1"/>
    <col min="3" max="3" width="15.54296875" bestFit="1" customWidth="1"/>
    <col min="4" max="4" width="255.7265625" bestFit="1" customWidth="1"/>
    <col min="5" max="5" width="62.1796875" bestFit="1" customWidth="1"/>
    <col min="6" max="6" width="28.453125" bestFit="1" customWidth="1"/>
    <col min="7" max="7" width="139.81640625" bestFit="1" customWidth="1"/>
  </cols>
  <sheetData>
    <row r="1" spans="1:7" x14ac:dyDescent="0.35">
      <c r="A1" s="28" t="s">
        <v>0</v>
      </c>
      <c r="B1" s="28" t="s">
        <v>922</v>
      </c>
      <c r="C1" s="30" t="s">
        <v>923</v>
      </c>
      <c r="D1" s="32" t="s">
        <v>924</v>
      </c>
      <c r="E1" s="33" t="s">
        <v>925</v>
      </c>
      <c r="F1" s="34" t="s">
        <v>926</v>
      </c>
      <c r="G1" s="35" t="s">
        <v>927</v>
      </c>
    </row>
    <row r="2" spans="1:7" x14ac:dyDescent="0.35">
      <c r="A2">
        <v>1118026700</v>
      </c>
      <c r="B2" t="s">
        <v>304</v>
      </c>
      <c r="C2" t="s">
        <v>928</v>
      </c>
      <c r="D2" t="s">
        <v>351</v>
      </c>
      <c r="E2" t="s">
        <v>929</v>
      </c>
      <c r="F2" t="s">
        <v>930</v>
      </c>
      <c r="G2" t="s">
        <v>931</v>
      </c>
    </row>
    <row r="3" spans="1:7" x14ac:dyDescent="0.35">
      <c r="A3">
        <v>1118026700</v>
      </c>
      <c r="B3" t="s">
        <v>305</v>
      </c>
      <c r="C3" t="s">
        <v>928</v>
      </c>
      <c r="D3" t="s">
        <v>351</v>
      </c>
      <c r="E3" t="s">
        <v>929</v>
      </c>
      <c r="F3" t="s">
        <v>930</v>
      </c>
      <c r="G3" t="s">
        <v>932</v>
      </c>
    </row>
    <row r="4" spans="1:7" x14ac:dyDescent="0.35">
      <c r="A4">
        <v>1118026700</v>
      </c>
      <c r="B4" t="s">
        <v>306</v>
      </c>
      <c r="C4" t="s">
        <v>928</v>
      </c>
      <c r="D4" t="s">
        <v>352</v>
      </c>
      <c r="E4" s="36" t="s">
        <v>933</v>
      </c>
      <c r="F4" t="s">
        <v>934</v>
      </c>
      <c r="G4" t="s">
        <v>935</v>
      </c>
    </row>
    <row r="5" spans="1:7" x14ac:dyDescent="0.35">
      <c r="A5">
        <v>1118026700</v>
      </c>
      <c r="B5" t="s">
        <v>312</v>
      </c>
      <c r="C5" t="s">
        <v>928</v>
      </c>
      <c r="D5" t="s">
        <v>380</v>
      </c>
      <c r="E5" s="36" t="s">
        <v>936</v>
      </c>
      <c r="F5" t="s">
        <v>937</v>
      </c>
      <c r="G5" t="s">
        <v>938</v>
      </c>
    </row>
    <row r="6" spans="1:7" x14ac:dyDescent="0.35">
      <c r="A6">
        <v>1118026700</v>
      </c>
      <c r="B6" t="s">
        <v>313</v>
      </c>
      <c r="C6" t="s">
        <v>928</v>
      </c>
      <c r="D6" t="s">
        <v>381</v>
      </c>
      <c r="E6" s="36" t="s">
        <v>939</v>
      </c>
      <c r="F6" t="s">
        <v>934</v>
      </c>
      <c r="G6" t="s">
        <v>940</v>
      </c>
    </row>
    <row r="7" spans="1:7" x14ac:dyDescent="0.35">
      <c r="A7">
        <v>1118026700</v>
      </c>
      <c r="B7" t="s">
        <v>318</v>
      </c>
      <c r="C7" t="s">
        <v>928</v>
      </c>
      <c r="D7">
        <v>1</v>
      </c>
      <c r="E7" s="36" t="s">
        <v>941</v>
      </c>
      <c r="F7" t="s">
        <v>934</v>
      </c>
      <c r="G7" t="s">
        <v>942</v>
      </c>
    </row>
    <row r="8" spans="1:7" x14ac:dyDescent="0.35">
      <c r="A8">
        <v>1118026700</v>
      </c>
      <c r="B8" t="s">
        <v>314</v>
      </c>
      <c r="C8" t="s">
        <v>928</v>
      </c>
      <c r="D8">
        <v>0</v>
      </c>
      <c r="E8" t="s">
        <v>943</v>
      </c>
      <c r="F8" t="s">
        <v>944</v>
      </c>
      <c r="G8" t="s">
        <v>945</v>
      </c>
    </row>
    <row r="9" spans="1:7" x14ac:dyDescent="0.35">
      <c r="A9">
        <v>1118026700</v>
      </c>
      <c r="B9" t="s">
        <v>316</v>
      </c>
      <c r="C9" t="s">
        <v>928</v>
      </c>
      <c r="D9" t="s">
        <v>946</v>
      </c>
      <c r="E9" t="s">
        <v>947</v>
      </c>
      <c r="F9" t="s">
        <v>948</v>
      </c>
      <c r="G9" t="s">
        <v>949</v>
      </c>
    </row>
    <row r="10" spans="1:7" x14ac:dyDescent="0.35">
      <c r="A10">
        <v>1118026700</v>
      </c>
      <c r="B10" t="s">
        <v>310</v>
      </c>
      <c r="C10" t="s">
        <v>928</v>
      </c>
      <c r="D10" t="s">
        <v>950</v>
      </c>
      <c r="E10" s="36" t="s">
        <v>951</v>
      </c>
      <c r="F10" t="s">
        <v>952</v>
      </c>
      <c r="G10" t="s">
        <v>953</v>
      </c>
    </row>
    <row r="11" spans="1:7" x14ac:dyDescent="0.35">
      <c r="A11">
        <v>1118026700</v>
      </c>
      <c r="B11" t="s">
        <v>329</v>
      </c>
      <c r="C11" t="s">
        <v>928</v>
      </c>
      <c r="D11" t="s">
        <v>954</v>
      </c>
      <c r="E11" s="36" t="s">
        <v>955</v>
      </c>
      <c r="F11" t="s">
        <v>934</v>
      </c>
      <c r="G11" t="s">
        <v>956</v>
      </c>
    </row>
    <row r="12" spans="1:7" x14ac:dyDescent="0.35">
      <c r="A12">
        <v>1118026700</v>
      </c>
      <c r="B12" t="s">
        <v>308</v>
      </c>
      <c r="C12" t="s">
        <v>928</v>
      </c>
      <c r="D12">
        <v>0</v>
      </c>
      <c r="E12" t="s">
        <v>957</v>
      </c>
      <c r="F12" t="s">
        <v>944</v>
      </c>
      <c r="G12" t="s">
        <v>958</v>
      </c>
    </row>
    <row r="14" spans="1:7" ht="15.5" x14ac:dyDescent="0.35">
      <c r="A14" s="37" t="s">
        <v>959</v>
      </c>
      <c r="B14" s="38"/>
      <c r="C14" s="38"/>
      <c r="D14" s="38"/>
      <c r="E14" s="38"/>
      <c r="F14" s="38"/>
      <c r="G14" s="38"/>
    </row>
    <row r="15" spans="1:7" x14ac:dyDescent="0.35">
      <c r="A15" s="27" t="s">
        <v>926</v>
      </c>
      <c r="B15" s="27" t="s">
        <v>960</v>
      </c>
    </row>
    <row r="16" spans="1:7" x14ac:dyDescent="0.35">
      <c r="A16" t="s">
        <v>930</v>
      </c>
      <c r="B16" t="s">
        <v>961</v>
      </c>
    </row>
    <row r="17" spans="1:2" x14ac:dyDescent="0.35">
      <c r="A17" t="s">
        <v>934</v>
      </c>
      <c r="B17" t="s">
        <v>962</v>
      </c>
    </row>
    <row r="18" spans="1:2" x14ac:dyDescent="0.35">
      <c r="A18" t="s">
        <v>937</v>
      </c>
      <c r="B18" t="s">
        <v>963</v>
      </c>
    </row>
    <row r="19" spans="1:2" x14ac:dyDescent="0.35">
      <c r="A19" t="s">
        <v>948</v>
      </c>
      <c r="B19" t="s">
        <v>964</v>
      </c>
    </row>
    <row r="20" spans="1:2" x14ac:dyDescent="0.35">
      <c r="A20" t="s">
        <v>952</v>
      </c>
      <c r="B20" t="s">
        <v>965</v>
      </c>
    </row>
    <row r="21" spans="1:2" x14ac:dyDescent="0.35">
      <c r="A21" t="s">
        <v>944</v>
      </c>
      <c r="B21" t="s">
        <v>966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10B81-9A17-4DDB-975D-7C6E1496EC6B}">
  <sheetPr>
    <tabColor rgb="FF4472C4"/>
  </sheetPr>
  <dimension ref="A1:H24"/>
  <sheetViews>
    <sheetView workbookViewId="0">
      <pane ySplit="3" topLeftCell="A15" activePane="bottomLeft" state="frozen"/>
      <selection pane="bottomLeft"/>
    </sheetView>
  </sheetViews>
  <sheetFormatPr baseColWidth="10" defaultRowHeight="14.5" x14ac:dyDescent="0.35"/>
  <cols>
    <col min="1" max="1" width="51.54296875" bestFit="1" customWidth="1"/>
    <col min="2" max="2" width="249.26953125" bestFit="1" customWidth="1"/>
    <col min="3" max="3" width="43.54296875" bestFit="1" customWidth="1"/>
    <col min="4" max="4" width="74" bestFit="1" customWidth="1"/>
    <col min="5" max="5" width="7.1796875" bestFit="1" customWidth="1"/>
    <col min="6" max="6" width="10.26953125" bestFit="1" customWidth="1"/>
  </cols>
  <sheetData>
    <row r="1" spans="1:8" ht="18.5" x14ac:dyDescent="0.45">
      <c r="A1" s="39" t="s">
        <v>967</v>
      </c>
      <c r="B1" s="38"/>
      <c r="C1" s="38"/>
      <c r="D1" s="38"/>
      <c r="E1" s="38"/>
      <c r="F1" s="38"/>
      <c r="G1" s="38"/>
      <c r="H1" s="38"/>
    </row>
    <row r="3" spans="1:8" x14ac:dyDescent="0.35">
      <c r="A3" s="28" t="s">
        <v>922</v>
      </c>
      <c r="B3" s="32" t="s">
        <v>968</v>
      </c>
      <c r="C3" s="30" t="s">
        <v>969</v>
      </c>
      <c r="D3" s="40" t="s">
        <v>970</v>
      </c>
      <c r="E3" s="35" t="s">
        <v>971</v>
      </c>
      <c r="F3" s="34" t="s">
        <v>972</v>
      </c>
    </row>
    <row r="4" spans="1:8" x14ac:dyDescent="0.35">
      <c r="A4" t="s">
        <v>304</v>
      </c>
      <c r="B4">
        <v>31</v>
      </c>
      <c r="C4">
        <v>16</v>
      </c>
      <c r="D4">
        <v>2</v>
      </c>
      <c r="E4" s="42">
        <v>0.36699999999999999</v>
      </c>
      <c r="F4" s="43" t="s">
        <v>973</v>
      </c>
    </row>
    <row r="5" spans="1:8" x14ac:dyDescent="0.35">
      <c r="A5" t="s">
        <v>305</v>
      </c>
      <c r="B5">
        <v>25</v>
      </c>
      <c r="C5">
        <v>22</v>
      </c>
      <c r="D5">
        <v>2</v>
      </c>
      <c r="E5" s="42">
        <v>0.49</v>
      </c>
      <c r="F5" s="43" t="s">
        <v>973</v>
      </c>
    </row>
    <row r="6" spans="1:8" x14ac:dyDescent="0.35">
      <c r="A6" t="s">
        <v>306</v>
      </c>
      <c r="B6">
        <v>41</v>
      </c>
      <c r="C6">
        <v>7</v>
      </c>
      <c r="D6">
        <v>1</v>
      </c>
      <c r="E6" s="44">
        <v>0.16300000000000001</v>
      </c>
      <c r="F6" t="s">
        <v>974</v>
      </c>
    </row>
    <row r="7" spans="1:8" x14ac:dyDescent="0.35">
      <c r="A7" t="s">
        <v>312</v>
      </c>
      <c r="B7">
        <v>47</v>
      </c>
      <c r="C7">
        <v>1</v>
      </c>
      <c r="D7">
        <v>1</v>
      </c>
      <c r="E7" s="45">
        <v>4.1000000000000002E-2</v>
      </c>
      <c r="F7" t="s">
        <v>975</v>
      </c>
    </row>
    <row r="8" spans="1:8" x14ac:dyDescent="0.35">
      <c r="A8" t="s">
        <v>313</v>
      </c>
      <c r="B8">
        <v>43</v>
      </c>
      <c r="C8">
        <v>6</v>
      </c>
      <c r="D8">
        <v>0</v>
      </c>
      <c r="E8" s="44">
        <v>0.122</v>
      </c>
      <c r="F8" t="s">
        <v>974</v>
      </c>
    </row>
    <row r="9" spans="1:8" x14ac:dyDescent="0.35">
      <c r="A9" t="s">
        <v>318</v>
      </c>
      <c r="B9">
        <v>46</v>
      </c>
      <c r="C9">
        <v>1</v>
      </c>
      <c r="D9">
        <v>2</v>
      </c>
      <c r="E9" s="45">
        <v>6.0999999999999999E-2</v>
      </c>
      <c r="F9" t="s">
        <v>975</v>
      </c>
    </row>
    <row r="11" spans="1:8" ht="15.5" x14ac:dyDescent="0.35">
      <c r="A11" s="46" t="s">
        <v>976</v>
      </c>
      <c r="B11" s="47"/>
      <c r="C11" s="47"/>
      <c r="D11" s="47"/>
      <c r="E11" s="47"/>
      <c r="F11" s="47"/>
      <c r="G11" s="47"/>
      <c r="H11" s="47"/>
    </row>
    <row r="13" spans="1:8" x14ac:dyDescent="0.35">
      <c r="A13" s="28" t="s">
        <v>0</v>
      </c>
      <c r="B13" s="28" t="s">
        <v>926</v>
      </c>
      <c r="C13" s="28" t="s">
        <v>977</v>
      </c>
      <c r="D13" s="28" t="s">
        <v>978</v>
      </c>
    </row>
    <row r="14" spans="1:8" x14ac:dyDescent="0.35">
      <c r="A14">
        <v>1118027243</v>
      </c>
      <c r="B14" t="s">
        <v>979</v>
      </c>
      <c r="C14" t="s">
        <v>980</v>
      </c>
      <c r="D14" t="s">
        <v>981</v>
      </c>
    </row>
    <row r="15" spans="1:8" x14ac:dyDescent="0.35">
      <c r="A15">
        <v>1118026729</v>
      </c>
      <c r="B15" t="s">
        <v>979</v>
      </c>
      <c r="C15" t="s">
        <v>982</v>
      </c>
      <c r="D15" t="s">
        <v>983</v>
      </c>
    </row>
    <row r="16" spans="1:8" x14ac:dyDescent="0.35">
      <c r="A16">
        <v>1117984105</v>
      </c>
      <c r="B16" t="s">
        <v>984</v>
      </c>
      <c r="C16" t="s">
        <v>318</v>
      </c>
      <c r="D16" t="s">
        <v>985</v>
      </c>
    </row>
    <row r="17" spans="1:8" x14ac:dyDescent="0.35">
      <c r="A17">
        <v>1118023904</v>
      </c>
      <c r="B17" t="s">
        <v>984</v>
      </c>
      <c r="C17" t="s">
        <v>318</v>
      </c>
      <c r="D17" t="s">
        <v>986</v>
      </c>
    </row>
    <row r="18" spans="1:8" x14ac:dyDescent="0.35">
      <c r="A18">
        <v>1118026700</v>
      </c>
      <c r="B18" t="s">
        <v>930</v>
      </c>
      <c r="C18" t="s">
        <v>980</v>
      </c>
      <c r="D18" t="s">
        <v>987</v>
      </c>
    </row>
    <row r="20" spans="1:8" ht="15.5" x14ac:dyDescent="0.35">
      <c r="A20" s="48" t="s">
        <v>988</v>
      </c>
      <c r="B20" s="49"/>
      <c r="C20" s="49"/>
      <c r="D20" s="49"/>
      <c r="E20" s="49"/>
      <c r="F20" s="49"/>
      <c r="G20" s="49"/>
      <c r="H20" s="49"/>
    </row>
    <row r="22" spans="1:8" x14ac:dyDescent="0.35">
      <c r="A22" s="27" t="s">
        <v>922</v>
      </c>
      <c r="B22" s="27" t="s">
        <v>989</v>
      </c>
    </row>
    <row r="23" spans="1:8" x14ac:dyDescent="0.35">
      <c r="A23" t="s">
        <v>990</v>
      </c>
      <c r="B23" t="s">
        <v>991</v>
      </c>
    </row>
    <row r="24" spans="1:8" x14ac:dyDescent="0.35">
      <c r="A24" t="s">
        <v>992</v>
      </c>
      <c r="B24" t="s">
        <v>993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B6246-197E-4D41-996F-1E5F43139291}">
  <sheetPr>
    <tabColor rgb="FF70AD47"/>
  </sheetPr>
  <dimension ref="A1:E27"/>
  <sheetViews>
    <sheetView workbookViewId="0">
      <pane ySplit="3" topLeftCell="A10" activePane="bottomLeft" state="frozen"/>
      <selection pane="bottomLeft" activeCell="B27" sqref="B27"/>
    </sheetView>
  </sheetViews>
  <sheetFormatPr baseColWidth="10" defaultRowHeight="14.5" x14ac:dyDescent="0.35"/>
  <cols>
    <col min="1" max="1" width="57.54296875" bestFit="1" customWidth="1"/>
    <col min="2" max="2" width="83.54296875" bestFit="1" customWidth="1"/>
    <col min="3" max="3" width="60.453125" bestFit="1" customWidth="1"/>
    <col min="4" max="4" width="80.7265625" bestFit="1" customWidth="1"/>
    <col min="5" max="5" width="163" bestFit="1" customWidth="1"/>
  </cols>
  <sheetData>
    <row r="1" spans="1:5" ht="18.5" x14ac:dyDescent="0.45">
      <c r="A1" s="50" t="s">
        <v>994</v>
      </c>
      <c r="B1" s="51"/>
      <c r="C1" s="51"/>
      <c r="D1" s="51"/>
      <c r="E1" s="51"/>
    </row>
    <row r="3" spans="1:5" x14ac:dyDescent="0.35">
      <c r="A3" s="28" t="s">
        <v>972</v>
      </c>
      <c r="B3" s="28" t="s">
        <v>995</v>
      </c>
      <c r="C3" s="28" t="s">
        <v>996</v>
      </c>
      <c r="D3" s="28" t="s">
        <v>997</v>
      </c>
      <c r="E3" s="28" t="s">
        <v>998</v>
      </c>
    </row>
    <row r="4" spans="1:5" x14ac:dyDescent="0.35">
      <c r="A4" s="43" t="s">
        <v>999</v>
      </c>
      <c r="B4" t="s">
        <v>1000</v>
      </c>
      <c r="C4" t="s">
        <v>1001</v>
      </c>
      <c r="D4" t="s">
        <v>1002</v>
      </c>
      <c r="E4" t="s">
        <v>1003</v>
      </c>
    </row>
    <row r="5" spans="1:5" x14ac:dyDescent="0.35">
      <c r="A5" s="43" t="s">
        <v>1004</v>
      </c>
      <c r="B5" t="s">
        <v>1005</v>
      </c>
      <c r="C5" t="s">
        <v>1006</v>
      </c>
      <c r="D5" t="s">
        <v>1007</v>
      </c>
      <c r="E5" t="s">
        <v>1008</v>
      </c>
    </row>
    <row r="6" spans="1:5" x14ac:dyDescent="0.35">
      <c r="A6" s="43" t="s">
        <v>1009</v>
      </c>
      <c r="B6" t="s">
        <v>1010</v>
      </c>
      <c r="C6" t="s">
        <v>1011</v>
      </c>
      <c r="D6" t="s">
        <v>1012</v>
      </c>
      <c r="E6" t="s">
        <v>1013</v>
      </c>
    </row>
    <row r="7" spans="1:5" x14ac:dyDescent="0.35">
      <c r="A7" s="52" t="s">
        <v>1014</v>
      </c>
      <c r="B7" t="s">
        <v>1015</v>
      </c>
      <c r="C7" t="s">
        <v>1016</v>
      </c>
      <c r="D7" t="s">
        <v>1017</v>
      </c>
      <c r="E7" t="s">
        <v>1018</v>
      </c>
    </row>
    <row r="8" spans="1:5" x14ac:dyDescent="0.35">
      <c r="A8" s="52" t="s">
        <v>1019</v>
      </c>
      <c r="B8" t="s">
        <v>1020</v>
      </c>
      <c r="C8" t="s">
        <v>1021</v>
      </c>
      <c r="D8" t="s">
        <v>1022</v>
      </c>
      <c r="E8" t="s">
        <v>1023</v>
      </c>
    </row>
    <row r="9" spans="1:5" x14ac:dyDescent="0.35">
      <c r="A9" s="52" t="s">
        <v>1024</v>
      </c>
      <c r="B9" t="s">
        <v>1025</v>
      </c>
      <c r="C9" t="s">
        <v>1026</v>
      </c>
      <c r="D9" t="s">
        <v>1027</v>
      </c>
      <c r="E9" t="s">
        <v>1028</v>
      </c>
    </row>
    <row r="10" spans="1:5" x14ac:dyDescent="0.35">
      <c r="A10" s="53" t="s">
        <v>1029</v>
      </c>
      <c r="B10" t="s">
        <v>1030</v>
      </c>
      <c r="C10" t="s">
        <v>1031</v>
      </c>
      <c r="D10" t="s">
        <v>1032</v>
      </c>
      <c r="E10" t="s">
        <v>1033</v>
      </c>
    </row>
    <row r="11" spans="1:5" x14ac:dyDescent="0.35">
      <c r="A11" s="53" t="s">
        <v>1034</v>
      </c>
      <c r="B11" t="s">
        <v>1035</v>
      </c>
      <c r="C11" t="s">
        <v>1036</v>
      </c>
      <c r="D11" t="s">
        <v>1037</v>
      </c>
      <c r="E11" t="s">
        <v>1038</v>
      </c>
    </row>
    <row r="12" spans="1:5" x14ac:dyDescent="0.35">
      <c r="A12" s="53" t="s">
        <v>1039</v>
      </c>
      <c r="B12" t="s">
        <v>1040</v>
      </c>
      <c r="C12" t="s">
        <v>1041</v>
      </c>
      <c r="D12" t="s">
        <v>1042</v>
      </c>
      <c r="E12" t="s">
        <v>1043</v>
      </c>
    </row>
    <row r="13" spans="1:5" x14ac:dyDescent="0.35">
      <c r="A13" s="53" t="s">
        <v>1044</v>
      </c>
      <c r="B13" t="s">
        <v>1045</v>
      </c>
      <c r="C13" t="s">
        <v>1046</v>
      </c>
      <c r="D13" t="s">
        <v>1047</v>
      </c>
      <c r="E13" t="s">
        <v>1048</v>
      </c>
    </row>
    <row r="14" spans="1:5" x14ac:dyDescent="0.35">
      <c r="A14" s="53" t="s">
        <v>1049</v>
      </c>
      <c r="B14" t="s">
        <v>1050</v>
      </c>
      <c r="C14" t="s">
        <v>1051</v>
      </c>
      <c r="D14" t="s">
        <v>1052</v>
      </c>
      <c r="E14" t="s">
        <v>1053</v>
      </c>
    </row>
    <row r="15" spans="1:5" x14ac:dyDescent="0.35">
      <c r="A15" s="53" t="s">
        <v>1054</v>
      </c>
      <c r="B15" t="s">
        <v>1055</v>
      </c>
      <c r="C15" t="s">
        <v>1056</v>
      </c>
      <c r="D15" t="s">
        <v>1057</v>
      </c>
      <c r="E15" s="36" t="s">
        <v>1058</v>
      </c>
    </row>
    <row r="17" spans="1:5" ht="15.5" x14ac:dyDescent="0.35">
      <c r="A17" s="37" t="s">
        <v>1059</v>
      </c>
      <c r="B17" s="38"/>
      <c r="C17" s="38"/>
      <c r="D17" s="38"/>
      <c r="E17" s="38"/>
    </row>
    <row r="19" spans="1:5" x14ac:dyDescent="0.35">
      <c r="A19" s="27" t="s">
        <v>922</v>
      </c>
      <c r="B19" s="27" t="s">
        <v>1060</v>
      </c>
      <c r="C19" s="27" t="s">
        <v>1061</v>
      </c>
    </row>
    <row r="20" spans="1:5" x14ac:dyDescent="0.35">
      <c r="A20" t="s">
        <v>1062</v>
      </c>
      <c r="B20" t="s">
        <v>1063</v>
      </c>
      <c r="C20" s="36" t="s">
        <v>1064</v>
      </c>
    </row>
    <row r="21" spans="1:5" x14ac:dyDescent="0.35">
      <c r="A21" t="s">
        <v>1065</v>
      </c>
      <c r="B21" t="s">
        <v>1066</v>
      </c>
      <c r="C21" s="36" t="s">
        <v>1067</v>
      </c>
    </row>
    <row r="22" spans="1:5" x14ac:dyDescent="0.35">
      <c r="A22" t="s">
        <v>1068</v>
      </c>
      <c r="B22" t="s">
        <v>1069</v>
      </c>
      <c r="C22" t="s">
        <v>1070</v>
      </c>
    </row>
    <row r="23" spans="1:5" x14ac:dyDescent="0.35">
      <c r="A23" t="s">
        <v>306</v>
      </c>
      <c r="B23" t="s">
        <v>1071</v>
      </c>
      <c r="C23" s="36" t="s">
        <v>1072</v>
      </c>
    </row>
    <row r="24" spans="1:5" x14ac:dyDescent="0.35">
      <c r="A24" t="s">
        <v>1073</v>
      </c>
      <c r="B24" t="s">
        <v>1074</v>
      </c>
      <c r="C24" s="36" t="s">
        <v>1075</v>
      </c>
    </row>
    <row r="25" spans="1:5" x14ac:dyDescent="0.35">
      <c r="A25" t="s">
        <v>314</v>
      </c>
      <c r="B25" t="s">
        <v>1076</v>
      </c>
      <c r="C25" s="36" t="s">
        <v>1077</v>
      </c>
    </row>
    <row r="26" spans="1:5" x14ac:dyDescent="0.35">
      <c r="A26" t="s">
        <v>336</v>
      </c>
      <c r="B26" t="s">
        <v>1078</v>
      </c>
      <c r="C26" s="36" t="s">
        <v>1079</v>
      </c>
    </row>
    <row r="27" spans="1:5" x14ac:dyDescent="0.35">
      <c r="A27" t="s">
        <v>1080</v>
      </c>
      <c r="B27" t="s">
        <v>1081</v>
      </c>
      <c r="C27" s="36" t="s">
        <v>1082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238ED-E3A5-4F1D-9387-4B3B166E858A}">
  <sheetPr>
    <tabColor rgb="FFC00000"/>
  </sheetPr>
  <dimension ref="A1:J68"/>
  <sheetViews>
    <sheetView topLeftCell="I1" workbookViewId="0">
      <pane ySplit="3" topLeftCell="A16" activePane="bottomLeft" state="frozen"/>
      <selection pane="bottomLeft" activeCell="I27" sqref="I27"/>
    </sheetView>
  </sheetViews>
  <sheetFormatPr baseColWidth="10" defaultRowHeight="14.5" x14ac:dyDescent="0.35"/>
  <cols>
    <col min="1" max="1" width="61.26953125" bestFit="1" customWidth="1"/>
    <col min="2" max="2" width="70.1796875" bestFit="1" customWidth="1"/>
    <col min="3" max="3" width="114.54296875" bestFit="1" customWidth="1"/>
    <col min="4" max="4" width="55.54296875" bestFit="1" customWidth="1"/>
    <col min="5" max="5" width="6.1796875" bestFit="1" customWidth="1"/>
    <col min="6" max="6" width="22.1796875" bestFit="1" customWidth="1"/>
    <col min="7" max="7" width="77.54296875" bestFit="1" customWidth="1"/>
    <col min="8" max="8" width="83.26953125" bestFit="1" customWidth="1"/>
    <col min="9" max="9" width="85.81640625" bestFit="1" customWidth="1"/>
    <col min="10" max="10" width="11.26953125" bestFit="1" customWidth="1"/>
  </cols>
  <sheetData>
    <row r="1" spans="1:10" ht="18.5" x14ac:dyDescent="0.45">
      <c r="A1" s="54" t="s">
        <v>1083</v>
      </c>
      <c r="B1" s="55"/>
      <c r="C1" s="55"/>
      <c r="D1" s="55"/>
      <c r="E1" s="55"/>
      <c r="F1" s="55"/>
      <c r="G1" s="55"/>
      <c r="H1" s="55"/>
      <c r="I1" s="55"/>
      <c r="J1" s="55"/>
    </row>
    <row r="3" spans="1:10" x14ac:dyDescent="0.35">
      <c r="A3" s="28" t="s">
        <v>0</v>
      </c>
      <c r="B3" s="28" t="s">
        <v>1084</v>
      </c>
      <c r="C3" s="30" t="s">
        <v>1085</v>
      </c>
      <c r="D3" s="32" t="s">
        <v>1086</v>
      </c>
      <c r="E3" s="35" t="s">
        <v>672</v>
      </c>
      <c r="F3" s="40" t="s">
        <v>926</v>
      </c>
      <c r="G3" s="34" t="s">
        <v>1087</v>
      </c>
      <c r="H3" s="56" t="s">
        <v>1088</v>
      </c>
      <c r="I3" s="57" t="s">
        <v>1089</v>
      </c>
      <c r="J3" s="58" t="s">
        <v>972</v>
      </c>
    </row>
    <row r="4" spans="1:10" x14ac:dyDescent="0.35">
      <c r="A4">
        <v>1118027941</v>
      </c>
      <c r="B4" t="s">
        <v>53</v>
      </c>
      <c r="C4" t="s">
        <v>1090</v>
      </c>
      <c r="D4" t="s">
        <v>894</v>
      </c>
      <c r="E4">
        <v>0.70099999999999996</v>
      </c>
      <c r="F4" t="s">
        <v>1091</v>
      </c>
      <c r="G4" t="s">
        <v>1092</v>
      </c>
      <c r="H4" t="s">
        <v>1093</v>
      </c>
      <c r="I4" t="s">
        <v>1094</v>
      </c>
      <c r="J4" t="s">
        <v>1095</v>
      </c>
    </row>
    <row r="5" spans="1:10" x14ac:dyDescent="0.35">
      <c r="A5">
        <v>1118028027</v>
      </c>
      <c r="B5" t="s">
        <v>59</v>
      </c>
      <c r="C5" t="s">
        <v>1096</v>
      </c>
      <c r="D5" t="s">
        <v>895</v>
      </c>
      <c r="E5">
        <v>0.90900000000000003</v>
      </c>
      <c r="F5" t="s">
        <v>1091</v>
      </c>
      <c r="G5" t="s">
        <v>1097</v>
      </c>
      <c r="H5" t="s">
        <v>1098</v>
      </c>
      <c r="I5" t="s">
        <v>1099</v>
      </c>
      <c r="J5" t="s">
        <v>1095</v>
      </c>
    </row>
    <row r="6" spans="1:10" x14ac:dyDescent="0.35">
      <c r="A6">
        <v>1118018714</v>
      </c>
      <c r="B6" t="s">
        <v>245</v>
      </c>
      <c r="C6" t="s">
        <v>1100</v>
      </c>
      <c r="D6" t="s">
        <v>903</v>
      </c>
      <c r="E6">
        <v>0.74099999999999999</v>
      </c>
      <c r="F6" t="s">
        <v>1091</v>
      </c>
      <c r="G6" t="s">
        <v>1101</v>
      </c>
      <c r="H6" t="s">
        <v>1102</v>
      </c>
      <c r="I6" t="s">
        <v>1103</v>
      </c>
      <c r="J6" t="s">
        <v>1095</v>
      </c>
    </row>
    <row r="7" spans="1:10" x14ac:dyDescent="0.35">
      <c r="A7">
        <v>1117995368</v>
      </c>
      <c r="B7" t="s">
        <v>263</v>
      </c>
      <c r="C7" t="s">
        <v>1104</v>
      </c>
      <c r="D7" t="s">
        <v>904</v>
      </c>
      <c r="E7">
        <v>0.83899999999999997</v>
      </c>
      <c r="F7" t="s">
        <v>1091</v>
      </c>
      <c r="G7" t="s">
        <v>1105</v>
      </c>
      <c r="H7" s="36" t="s">
        <v>1106</v>
      </c>
      <c r="I7" t="s">
        <v>1107</v>
      </c>
      <c r="J7" t="s">
        <v>1095</v>
      </c>
    </row>
    <row r="8" spans="1:10" x14ac:dyDescent="0.35">
      <c r="A8">
        <v>2162667</v>
      </c>
      <c r="B8" t="s">
        <v>1108</v>
      </c>
      <c r="C8" t="s">
        <v>1109</v>
      </c>
      <c r="D8" t="s">
        <v>897</v>
      </c>
      <c r="E8">
        <v>0.73799999999999999</v>
      </c>
      <c r="F8" t="s">
        <v>1110</v>
      </c>
      <c r="G8" t="s">
        <v>1111</v>
      </c>
      <c r="H8" s="36" t="s">
        <v>1112</v>
      </c>
      <c r="I8" t="s">
        <v>1113</v>
      </c>
      <c r="J8" t="s">
        <v>1095</v>
      </c>
    </row>
    <row r="9" spans="1:10" x14ac:dyDescent="0.35">
      <c r="A9">
        <v>1117984105</v>
      </c>
      <c r="B9" t="s">
        <v>1114</v>
      </c>
      <c r="C9" t="s">
        <v>1115</v>
      </c>
      <c r="D9" t="s">
        <v>1116</v>
      </c>
      <c r="E9">
        <v>0.63800000000000001</v>
      </c>
      <c r="F9" t="s">
        <v>1117</v>
      </c>
      <c r="G9" t="s">
        <v>1118</v>
      </c>
      <c r="H9" t="s">
        <v>1119</v>
      </c>
      <c r="I9" t="s">
        <v>1120</v>
      </c>
      <c r="J9" t="s">
        <v>1095</v>
      </c>
    </row>
    <row r="10" spans="1:10" x14ac:dyDescent="0.35">
      <c r="A10">
        <v>1118018461</v>
      </c>
      <c r="B10" t="s">
        <v>240</v>
      </c>
      <c r="C10" t="s">
        <v>1121</v>
      </c>
      <c r="D10" t="s">
        <v>902</v>
      </c>
      <c r="E10">
        <v>0.79200000000000004</v>
      </c>
      <c r="F10" t="s">
        <v>1122</v>
      </c>
      <c r="G10" t="s">
        <v>1123</v>
      </c>
      <c r="H10" s="36" t="s">
        <v>1124</v>
      </c>
      <c r="I10" t="s">
        <v>1125</v>
      </c>
      <c r="J10" t="s">
        <v>1126</v>
      </c>
    </row>
    <row r="11" spans="1:10" x14ac:dyDescent="0.35">
      <c r="A11">
        <v>1118026729</v>
      </c>
      <c r="B11" t="s">
        <v>18</v>
      </c>
      <c r="C11" t="s">
        <v>1127</v>
      </c>
      <c r="D11" t="s">
        <v>1128</v>
      </c>
      <c r="E11">
        <v>0.71199999999999997</v>
      </c>
      <c r="F11" t="s">
        <v>1091</v>
      </c>
      <c r="G11" t="s">
        <v>1129</v>
      </c>
      <c r="H11" s="36" t="s">
        <v>1130</v>
      </c>
      <c r="I11" t="s">
        <v>1131</v>
      </c>
      <c r="J11" t="s">
        <v>1126</v>
      </c>
    </row>
    <row r="12" spans="1:10" x14ac:dyDescent="0.35">
      <c r="A12">
        <v>1118027276</v>
      </c>
      <c r="B12" t="s">
        <v>375</v>
      </c>
      <c r="C12" t="s">
        <v>1132</v>
      </c>
      <c r="D12" t="s">
        <v>1133</v>
      </c>
      <c r="E12">
        <v>0.59199999999999997</v>
      </c>
      <c r="F12" t="s">
        <v>1091</v>
      </c>
      <c r="G12" t="s">
        <v>1134</v>
      </c>
      <c r="H12" t="s">
        <v>1135</v>
      </c>
      <c r="I12" t="s">
        <v>1136</v>
      </c>
      <c r="J12" t="s">
        <v>1126</v>
      </c>
    </row>
    <row r="13" spans="1:10" x14ac:dyDescent="0.35">
      <c r="A13">
        <v>1118028376</v>
      </c>
      <c r="B13" t="s">
        <v>77</v>
      </c>
      <c r="C13" t="s">
        <v>1137</v>
      </c>
      <c r="D13" t="s">
        <v>896</v>
      </c>
      <c r="E13">
        <v>0.745</v>
      </c>
      <c r="F13" t="s">
        <v>1138</v>
      </c>
      <c r="G13" t="s">
        <v>1139</v>
      </c>
      <c r="H13" t="s">
        <v>1140</v>
      </c>
      <c r="I13" t="s">
        <v>1141</v>
      </c>
      <c r="J13" t="s">
        <v>1126</v>
      </c>
    </row>
    <row r="14" spans="1:10" x14ac:dyDescent="0.35">
      <c r="A14">
        <v>2165052</v>
      </c>
      <c r="B14" t="s">
        <v>191</v>
      </c>
      <c r="C14" t="s">
        <v>1142</v>
      </c>
      <c r="D14" t="s">
        <v>900</v>
      </c>
      <c r="E14">
        <v>0.76500000000000001</v>
      </c>
      <c r="F14" t="s">
        <v>1138</v>
      </c>
      <c r="G14" t="s">
        <v>1143</v>
      </c>
      <c r="H14" t="s">
        <v>1144</v>
      </c>
      <c r="I14" t="s">
        <v>1145</v>
      </c>
      <c r="J14" t="s">
        <v>1126</v>
      </c>
    </row>
    <row r="15" spans="1:10" x14ac:dyDescent="0.35">
      <c r="A15">
        <v>1118000814</v>
      </c>
      <c r="B15" t="s">
        <v>152</v>
      </c>
      <c r="C15" t="s">
        <v>1146</v>
      </c>
      <c r="D15" t="s">
        <v>861</v>
      </c>
      <c r="E15">
        <v>0.76800000000000002</v>
      </c>
      <c r="F15" t="s">
        <v>1138</v>
      </c>
      <c r="G15" t="s">
        <v>1147</v>
      </c>
      <c r="H15" t="s">
        <v>1148</v>
      </c>
      <c r="I15" t="s">
        <v>1149</v>
      </c>
      <c r="J15" t="s">
        <v>1150</v>
      </c>
    </row>
    <row r="16" spans="1:10" x14ac:dyDescent="0.35">
      <c r="A16">
        <v>1118020225</v>
      </c>
      <c r="B16" t="s">
        <v>158</v>
      </c>
      <c r="C16" t="s">
        <v>1151</v>
      </c>
      <c r="D16" t="s">
        <v>1152</v>
      </c>
      <c r="E16">
        <v>0.59899999999999998</v>
      </c>
      <c r="F16" t="s">
        <v>1138</v>
      </c>
      <c r="G16" t="s">
        <v>1153</v>
      </c>
      <c r="H16" t="s">
        <v>1154</v>
      </c>
      <c r="I16" t="s">
        <v>1155</v>
      </c>
      <c r="J16" t="s">
        <v>1150</v>
      </c>
    </row>
    <row r="17" spans="1:10" x14ac:dyDescent="0.35">
      <c r="A17">
        <v>1118009739</v>
      </c>
      <c r="B17" t="s">
        <v>517</v>
      </c>
      <c r="C17" t="s">
        <v>1156</v>
      </c>
      <c r="D17" t="s">
        <v>744</v>
      </c>
      <c r="E17">
        <v>0.73699999999999999</v>
      </c>
      <c r="F17" t="s">
        <v>1157</v>
      </c>
      <c r="G17" t="s">
        <v>1158</v>
      </c>
      <c r="H17" t="s">
        <v>1159</v>
      </c>
      <c r="I17" t="s">
        <v>1160</v>
      </c>
      <c r="J17" t="s">
        <v>1150</v>
      </c>
    </row>
    <row r="18" spans="1:10" x14ac:dyDescent="0.35">
      <c r="A18">
        <v>1118023904</v>
      </c>
      <c r="B18" t="s">
        <v>210</v>
      </c>
      <c r="C18" t="s">
        <v>1161</v>
      </c>
      <c r="D18" t="s">
        <v>901</v>
      </c>
      <c r="E18">
        <v>0.95</v>
      </c>
      <c r="F18" t="s">
        <v>1117</v>
      </c>
      <c r="G18" t="s">
        <v>1162</v>
      </c>
      <c r="H18" t="s">
        <v>1163</v>
      </c>
      <c r="I18" t="s">
        <v>1164</v>
      </c>
      <c r="J18" t="s">
        <v>1150</v>
      </c>
    </row>
    <row r="19" spans="1:10" x14ac:dyDescent="0.35">
      <c r="A19">
        <v>2170124</v>
      </c>
      <c r="B19" t="s">
        <v>633</v>
      </c>
      <c r="C19" t="s">
        <v>1165</v>
      </c>
      <c r="D19" t="s">
        <v>905</v>
      </c>
      <c r="E19">
        <v>0.95</v>
      </c>
      <c r="F19" t="s">
        <v>1117</v>
      </c>
      <c r="G19" t="s">
        <v>1166</v>
      </c>
      <c r="H19" t="s">
        <v>1167</v>
      </c>
      <c r="I19" t="s">
        <v>1168</v>
      </c>
      <c r="J19" t="s">
        <v>1150</v>
      </c>
    </row>
    <row r="20" spans="1:10" x14ac:dyDescent="0.35">
      <c r="A20">
        <v>1117977340</v>
      </c>
      <c r="B20" t="s">
        <v>287</v>
      </c>
      <c r="C20" t="s">
        <v>1137</v>
      </c>
      <c r="D20" t="s">
        <v>445</v>
      </c>
      <c r="E20">
        <v>0.745</v>
      </c>
      <c r="F20" t="s">
        <v>1169</v>
      </c>
      <c r="G20" t="s">
        <v>1170</v>
      </c>
      <c r="H20" t="s">
        <v>1171</v>
      </c>
      <c r="I20" t="s">
        <v>1172</v>
      </c>
      <c r="J20" t="s">
        <v>1150</v>
      </c>
    </row>
    <row r="21" spans="1:10" x14ac:dyDescent="0.35">
      <c r="A21">
        <v>2165301</v>
      </c>
      <c r="B21" t="s">
        <v>198</v>
      </c>
      <c r="C21" t="s">
        <v>1173</v>
      </c>
      <c r="D21" t="s">
        <v>1174</v>
      </c>
      <c r="E21">
        <v>0.95</v>
      </c>
      <c r="F21" t="s">
        <v>1175</v>
      </c>
      <c r="G21" t="s">
        <v>1176</v>
      </c>
      <c r="H21" t="s">
        <v>1177</v>
      </c>
      <c r="I21" t="s">
        <v>1178</v>
      </c>
      <c r="J21" t="s">
        <v>975</v>
      </c>
    </row>
    <row r="24" spans="1:10" ht="15.5" x14ac:dyDescent="0.35">
      <c r="A24" s="37" t="s">
        <v>1179</v>
      </c>
      <c r="B24" s="38"/>
      <c r="C24" s="38"/>
      <c r="D24" s="38"/>
      <c r="E24" s="38"/>
      <c r="F24" s="38"/>
      <c r="G24" s="38"/>
      <c r="H24" s="38"/>
      <c r="I24" s="38"/>
      <c r="J24" s="38"/>
    </row>
    <row r="26" spans="1:10" x14ac:dyDescent="0.35">
      <c r="A26" s="27" t="s">
        <v>926</v>
      </c>
      <c r="B26" s="27" t="s">
        <v>1180</v>
      </c>
      <c r="C26" s="27" t="s">
        <v>978</v>
      </c>
    </row>
    <row r="27" spans="1:10" x14ac:dyDescent="0.35">
      <c r="A27" t="s">
        <v>1091</v>
      </c>
      <c r="B27">
        <v>6</v>
      </c>
      <c r="C27" t="s">
        <v>1181</v>
      </c>
    </row>
    <row r="28" spans="1:10" x14ac:dyDescent="0.35">
      <c r="A28" t="s">
        <v>1138</v>
      </c>
      <c r="B28">
        <v>5</v>
      </c>
      <c r="C28" t="s">
        <v>1182</v>
      </c>
    </row>
    <row r="29" spans="1:10" x14ac:dyDescent="0.35">
      <c r="A29" t="s">
        <v>1117</v>
      </c>
      <c r="B29">
        <v>3</v>
      </c>
      <c r="C29" t="s">
        <v>1183</v>
      </c>
    </row>
    <row r="30" spans="1:10" x14ac:dyDescent="0.35">
      <c r="A30" t="s">
        <v>1110</v>
      </c>
      <c r="B30">
        <v>1</v>
      </c>
      <c r="C30" t="s">
        <v>1184</v>
      </c>
    </row>
    <row r="31" spans="1:10" x14ac:dyDescent="0.35">
      <c r="A31" t="s">
        <v>1122</v>
      </c>
      <c r="B31">
        <v>1</v>
      </c>
      <c r="C31" t="s">
        <v>1185</v>
      </c>
    </row>
    <row r="32" spans="1:10" x14ac:dyDescent="0.35">
      <c r="A32" t="s">
        <v>1169</v>
      </c>
      <c r="B32">
        <v>1</v>
      </c>
      <c r="C32" t="s">
        <v>1186</v>
      </c>
    </row>
    <row r="33" spans="1:10" x14ac:dyDescent="0.35">
      <c r="A33" t="s">
        <v>1175</v>
      </c>
      <c r="B33">
        <v>1</v>
      </c>
      <c r="C33" t="s">
        <v>1187</v>
      </c>
    </row>
    <row r="36" spans="1:10" ht="15.5" x14ac:dyDescent="0.35">
      <c r="A36" s="59" t="s">
        <v>1188</v>
      </c>
      <c r="B36" s="51"/>
      <c r="C36" s="51"/>
      <c r="D36" s="51"/>
      <c r="E36" s="51"/>
      <c r="F36" s="51"/>
      <c r="G36" s="51"/>
      <c r="H36" s="51"/>
      <c r="I36" s="51"/>
      <c r="J36" s="51"/>
    </row>
    <row r="38" spans="1:10" x14ac:dyDescent="0.35">
      <c r="A38" s="29" t="s">
        <v>1189</v>
      </c>
      <c r="B38" s="31" t="s">
        <v>1190</v>
      </c>
    </row>
    <row r="39" spans="1:10" x14ac:dyDescent="0.35">
      <c r="A39" t="s">
        <v>1191</v>
      </c>
      <c r="B39" t="s">
        <v>1192</v>
      </c>
    </row>
    <row r="40" spans="1:10" x14ac:dyDescent="0.35">
      <c r="A40" t="s">
        <v>1193</v>
      </c>
      <c r="B40" t="s">
        <v>1194</v>
      </c>
    </row>
    <row r="41" spans="1:10" x14ac:dyDescent="0.35">
      <c r="A41" t="s">
        <v>1195</v>
      </c>
      <c r="B41" t="s">
        <v>1196</v>
      </c>
    </row>
    <row r="42" spans="1:10" x14ac:dyDescent="0.35">
      <c r="A42" t="s">
        <v>1197</v>
      </c>
      <c r="B42" t="s">
        <v>1198</v>
      </c>
    </row>
    <row r="43" spans="1:10" x14ac:dyDescent="0.35">
      <c r="B43" t="s">
        <v>1199</v>
      </c>
    </row>
    <row r="46" spans="1:10" ht="15.5" x14ac:dyDescent="0.35">
      <c r="A46" s="48" t="s">
        <v>1200</v>
      </c>
      <c r="B46" s="49"/>
      <c r="C46" s="49"/>
      <c r="D46" s="49"/>
      <c r="E46" s="49"/>
      <c r="F46" s="49"/>
      <c r="G46" s="49"/>
      <c r="H46" s="49"/>
      <c r="I46" s="49"/>
      <c r="J46" s="49"/>
    </row>
    <row r="48" spans="1:10" x14ac:dyDescent="0.35">
      <c r="A48" s="27" t="s">
        <v>1201</v>
      </c>
      <c r="B48" s="27" t="s">
        <v>1202</v>
      </c>
      <c r="C48" s="27" t="s">
        <v>1203</v>
      </c>
      <c r="D48" s="27" t="s">
        <v>1204</v>
      </c>
    </row>
    <row r="49" spans="1:10" x14ac:dyDescent="0.35">
      <c r="A49" t="s">
        <v>1205</v>
      </c>
      <c r="B49" t="s">
        <v>1206</v>
      </c>
      <c r="C49" t="s">
        <v>1207</v>
      </c>
      <c r="D49" t="s">
        <v>1208</v>
      </c>
    </row>
    <row r="50" spans="1:10" x14ac:dyDescent="0.35">
      <c r="A50" t="s">
        <v>1209</v>
      </c>
      <c r="B50" t="s">
        <v>1210</v>
      </c>
      <c r="C50" t="s">
        <v>1211</v>
      </c>
      <c r="D50" t="s">
        <v>1212</v>
      </c>
    </row>
    <row r="51" spans="1:10" x14ac:dyDescent="0.35">
      <c r="A51" t="s">
        <v>1213</v>
      </c>
      <c r="B51" t="s">
        <v>1214</v>
      </c>
      <c r="C51" t="s">
        <v>1215</v>
      </c>
      <c r="D51" t="s">
        <v>1216</v>
      </c>
    </row>
    <row r="52" spans="1:10" x14ac:dyDescent="0.35">
      <c r="A52" t="s">
        <v>1217</v>
      </c>
      <c r="B52" t="s">
        <v>1218</v>
      </c>
      <c r="C52" t="s">
        <v>1219</v>
      </c>
      <c r="D52" t="s">
        <v>1220</v>
      </c>
    </row>
    <row r="53" spans="1:10" x14ac:dyDescent="0.35">
      <c r="A53" t="s">
        <v>1221</v>
      </c>
      <c r="B53" t="s">
        <v>1222</v>
      </c>
      <c r="C53" t="s">
        <v>1223</v>
      </c>
      <c r="D53" t="s">
        <v>1224</v>
      </c>
    </row>
    <row r="54" spans="1:10" x14ac:dyDescent="0.35">
      <c r="A54" t="s">
        <v>1225</v>
      </c>
      <c r="B54" t="s">
        <v>1226</v>
      </c>
      <c r="C54" t="s">
        <v>1227</v>
      </c>
      <c r="D54" t="s">
        <v>1228</v>
      </c>
    </row>
    <row r="55" spans="1:10" x14ac:dyDescent="0.35">
      <c r="A55" t="s">
        <v>1229</v>
      </c>
      <c r="B55" t="s">
        <v>1230</v>
      </c>
      <c r="C55" t="s">
        <v>1231</v>
      </c>
      <c r="D55" t="s">
        <v>1232</v>
      </c>
    </row>
    <row r="56" spans="1:10" x14ac:dyDescent="0.35">
      <c r="A56" t="s">
        <v>1233</v>
      </c>
      <c r="B56" t="s">
        <v>625</v>
      </c>
      <c r="C56" t="s">
        <v>1234</v>
      </c>
      <c r="D56" t="s">
        <v>1235</v>
      </c>
    </row>
    <row r="57" spans="1:10" x14ac:dyDescent="0.35">
      <c r="A57" t="s">
        <v>1236</v>
      </c>
      <c r="B57" t="s">
        <v>1237</v>
      </c>
      <c r="C57" t="s">
        <v>1238</v>
      </c>
      <c r="D57" t="s">
        <v>1239</v>
      </c>
    </row>
    <row r="58" spans="1:10" x14ac:dyDescent="0.35">
      <c r="A58" t="s">
        <v>1240</v>
      </c>
      <c r="B58" t="s">
        <v>191</v>
      </c>
      <c r="C58" t="s">
        <v>1241</v>
      </c>
      <c r="D58" t="s">
        <v>1242</v>
      </c>
    </row>
    <row r="59" spans="1:10" x14ac:dyDescent="0.35">
      <c r="A59" t="s">
        <v>1243</v>
      </c>
      <c r="B59" t="s">
        <v>1244</v>
      </c>
      <c r="C59" t="s">
        <v>1245</v>
      </c>
      <c r="D59" t="s">
        <v>1246</v>
      </c>
    </row>
    <row r="60" spans="1:10" x14ac:dyDescent="0.35">
      <c r="A60" t="s">
        <v>1247</v>
      </c>
      <c r="B60" t="s">
        <v>1248</v>
      </c>
      <c r="C60" t="s">
        <v>1249</v>
      </c>
      <c r="D60" t="s">
        <v>1250</v>
      </c>
    </row>
    <row r="63" spans="1:10" ht="15.5" x14ac:dyDescent="0.35">
      <c r="A63" s="60" t="s">
        <v>1251</v>
      </c>
      <c r="B63" s="61"/>
      <c r="C63" s="61"/>
      <c r="D63" s="61"/>
      <c r="E63" s="61"/>
      <c r="F63" s="61"/>
      <c r="G63" s="61"/>
      <c r="H63" s="61"/>
      <c r="I63" s="61"/>
      <c r="J63" s="61"/>
    </row>
    <row r="65" spans="1:3" x14ac:dyDescent="0.35">
      <c r="A65" s="27" t="s">
        <v>1252</v>
      </c>
      <c r="B65" s="27" t="s">
        <v>1253</v>
      </c>
      <c r="C65" s="27" t="s">
        <v>1254</v>
      </c>
    </row>
    <row r="66" spans="1:3" x14ac:dyDescent="0.35">
      <c r="A66" t="s">
        <v>1255</v>
      </c>
      <c r="B66" s="62">
        <v>0.7</v>
      </c>
      <c r="C66" t="s">
        <v>1256</v>
      </c>
    </row>
    <row r="67" spans="1:3" x14ac:dyDescent="0.35">
      <c r="A67" t="s">
        <v>1257</v>
      </c>
      <c r="B67" s="62">
        <v>0.2</v>
      </c>
      <c r="C67" t="s">
        <v>1258</v>
      </c>
    </row>
    <row r="68" spans="1:3" x14ac:dyDescent="0.35">
      <c r="A68" t="s">
        <v>1259</v>
      </c>
      <c r="B68" s="62">
        <v>0.1</v>
      </c>
      <c r="C68" t="s">
        <v>1260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81FAC-634A-4E1B-8216-4A2E3BCE5804}">
  <sheetPr>
    <tabColor rgb="FF7030A0"/>
  </sheetPr>
  <dimension ref="A1:F86"/>
  <sheetViews>
    <sheetView topLeftCell="C1" workbookViewId="0">
      <pane ySplit="1" topLeftCell="A13" activePane="bottomLeft" state="frozen"/>
      <selection pane="bottomLeft" activeCell="C23" sqref="C23"/>
    </sheetView>
  </sheetViews>
  <sheetFormatPr baseColWidth="10" defaultRowHeight="14.5" x14ac:dyDescent="0.35"/>
  <cols>
    <col min="1" max="1" width="94.7265625" bestFit="1" customWidth="1"/>
    <col min="2" max="2" width="102.81640625" bestFit="1" customWidth="1"/>
    <col min="3" max="3" width="98.54296875" bestFit="1" customWidth="1"/>
    <col min="4" max="4" width="105" bestFit="1" customWidth="1"/>
    <col min="5" max="5" width="59.81640625" bestFit="1" customWidth="1"/>
  </cols>
  <sheetData>
    <row r="1" spans="1:6" ht="18.5" x14ac:dyDescent="0.45">
      <c r="A1" s="63" t="s">
        <v>1261</v>
      </c>
      <c r="B1" s="61"/>
      <c r="C1" s="61"/>
      <c r="D1" s="61"/>
      <c r="E1" s="61"/>
      <c r="F1" s="61"/>
    </row>
    <row r="3" spans="1:6" ht="15.5" x14ac:dyDescent="0.35">
      <c r="A3" s="64" t="s">
        <v>1262</v>
      </c>
      <c r="B3" s="65"/>
      <c r="C3" s="65"/>
      <c r="D3" s="65"/>
      <c r="E3" s="65"/>
      <c r="F3" s="65"/>
    </row>
    <row r="4" spans="1:6" x14ac:dyDescent="0.35">
      <c r="A4" t="s">
        <v>1263</v>
      </c>
    </row>
    <row r="5" spans="1:6" x14ac:dyDescent="0.35">
      <c r="A5" s="66" t="s">
        <v>1264</v>
      </c>
    </row>
    <row r="7" spans="1:6" ht="15.5" x14ac:dyDescent="0.35">
      <c r="A7" s="67" t="s">
        <v>1265</v>
      </c>
      <c r="B7" s="68"/>
      <c r="C7" s="68"/>
      <c r="D7" s="68"/>
      <c r="E7" s="68"/>
      <c r="F7" s="68"/>
    </row>
    <row r="8" spans="1:6" x14ac:dyDescent="0.35">
      <c r="A8" s="27" t="s">
        <v>922</v>
      </c>
      <c r="B8" s="27" t="s">
        <v>1266</v>
      </c>
      <c r="C8" s="27" t="s">
        <v>1267</v>
      </c>
    </row>
    <row r="9" spans="1:6" x14ac:dyDescent="0.35">
      <c r="A9" t="s">
        <v>323</v>
      </c>
      <c r="B9" t="s">
        <v>1268</v>
      </c>
      <c r="C9" t="s">
        <v>1269</v>
      </c>
    </row>
    <row r="10" spans="1:6" x14ac:dyDescent="0.35">
      <c r="A10" t="s">
        <v>324</v>
      </c>
      <c r="B10" t="s">
        <v>1270</v>
      </c>
      <c r="C10" t="s">
        <v>1271</v>
      </c>
    </row>
    <row r="12" spans="1:6" ht="15.5" x14ac:dyDescent="0.35">
      <c r="A12" s="69" t="s">
        <v>1272</v>
      </c>
      <c r="B12" s="70"/>
      <c r="C12" s="70"/>
      <c r="D12" s="70"/>
      <c r="E12" s="70"/>
      <c r="F12" s="70"/>
    </row>
    <row r="14" spans="1:6" x14ac:dyDescent="0.35">
      <c r="A14" s="28" t="s">
        <v>0</v>
      </c>
      <c r="B14" s="28" t="s">
        <v>2</v>
      </c>
      <c r="C14" s="28" t="s">
        <v>1273</v>
      </c>
      <c r="D14" s="28" t="s">
        <v>1274</v>
      </c>
      <c r="E14" s="28" t="s">
        <v>1275</v>
      </c>
    </row>
    <row r="15" spans="1:6" x14ac:dyDescent="0.35">
      <c r="A15">
        <v>1118027243</v>
      </c>
      <c r="B15" t="s">
        <v>23</v>
      </c>
      <c r="C15" t="s">
        <v>1276</v>
      </c>
      <c r="D15" t="s">
        <v>1277</v>
      </c>
      <c r="E15" t="s">
        <v>1278</v>
      </c>
    </row>
    <row r="16" spans="1:6" x14ac:dyDescent="0.35">
      <c r="A16">
        <v>1118027662</v>
      </c>
      <c r="B16" t="s">
        <v>1279</v>
      </c>
      <c r="C16" t="s">
        <v>1280</v>
      </c>
      <c r="D16" t="s">
        <v>1281</v>
      </c>
      <c r="E16" t="s">
        <v>1282</v>
      </c>
    </row>
    <row r="17" spans="1:5" x14ac:dyDescent="0.35">
      <c r="A17">
        <v>1118028027</v>
      </c>
      <c r="B17" t="s">
        <v>1283</v>
      </c>
      <c r="C17" t="s">
        <v>1284</v>
      </c>
      <c r="D17" t="s">
        <v>1285</v>
      </c>
      <c r="E17" t="s">
        <v>1286</v>
      </c>
    </row>
    <row r="18" spans="1:5" x14ac:dyDescent="0.35">
      <c r="A18">
        <v>1118028657</v>
      </c>
      <c r="B18" t="s">
        <v>445</v>
      </c>
      <c r="C18" t="s">
        <v>1287</v>
      </c>
      <c r="D18" t="s">
        <v>1281</v>
      </c>
      <c r="E18" t="s">
        <v>1288</v>
      </c>
    </row>
    <row r="19" spans="1:5" x14ac:dyDescent="0.35">
      <c r="A19">
        <v>1118028833</v>
      </c>
      <c r="B19" t="s">
        <v>1289</v>
      </c>
      <c r="C19" t="s">
        <v>1290</v>
      </c>
      <c r="D19" t="s">
        <v>1291</v>
      </c>
      <c r="E19" t="s">
        <v>1292</v>
      </c>
    </row>
    <row r="20" spans="1:5" x14ac:dyDescent="0.35">
      <c r="A20">
        <v>1118028891</v>
      </c>
      <c r="B20" t="s">
        <v>1293</v>
      </c>
      <c r="C20" t="s">
        <v>1294</v>
      </c>
      <c r="D20" t="s">
        <v>1281</v>
      </c>
      <c r="E20" t="s">
        <v>1295</v>
      </c>
    </row>
    <row r="21" spans="1:5" x14ac:dyDescent="0.35">
      <c r="A21">
        <v>2162667</v>
      </c>
      <c r="B21" t="s">
        <v>475</v>
      </c>
      <c r="C21" t="s">
        <v>1296</v>
      </c>
      <c r="D21" t="s">
        <v>1281</v>
      </c>
      <c r="E21" t="s">
        <v>1297</v>
      </c>
    </row>
    <row r="22" spans="1:5" x14ac:dyDescent="0.35">
      <c r="A22">
        <v>1118025212</v>
      </c>
      <c r="B22" t="s">
        <v>1298</v>
      </c>
      <c r="C22" t="s">
        <v>1299</v>
      </c>
      <c r="D22" t="s">
        <v>1285</v>
      </c>
      <c r="E22" t="s">
        <v>1300</v>
      </c>
    </row>
    <row r="23" spans="1:5" x14ac:dyDescent="0.35">
      <c r="A23">
        <v>1117984105</v>
      </c>
      <c r="B23" t="s">
        <v>1301</v>
      </c>
      <c r="C23" t="s">
        <v>1302</v>
      </c>
      <c r="D23" t="s">
        <v>1285</v>
      </c>
      <c r="E23" t="s">
        <v>1303</v>
      </c>
    </row>
    <row r="24" spans="1:5" x14ac:dyDescent="0.35">
      <c r="A24">
        <v>1118009739</v>
      </c>
      <c r="B24" t="s">
        <v>1304</v>
      </c>
      <c r="C24" t="s">
        <v>1305</v>
      </c>
      <c r="D24" t="s">
        <v>1281</v>
      </c>
      <c r="E24" t="s">
        <v>1306</v>
      </c>
    </row>
    <row r="25" spans="1:5" x14ac:dyDescent="0.35">
      <c r="A25">
        <v>1118003709</v>
      </c>
      <c r="B25" t="s">
        <v>1307</v>
      </c>
      <c r="C25" t="s">
        <v>1308</v>
      </c>
      <c r="D25" t="s">
        <v>1291</v>
      </c>
      <c r="E25" t="s">
        <v>1309</v>
      </c>
    </row>
    <row r="26" spans="1:5" x14ac:dyDescent="0.35">
      <c r="A26">
        <v>1118025956</v>
      </c>
      <c r="B26" t="s">
        <v>178</v>
      </c>
      <c r="C26" t="s">
        <v>1310</v>
      </c>
      <c r="D26" t="s">
        <v>1281</v>
      </c>
      <c r="E26" t="s">
        <v>1311</v>
      </c>
    </row>
    <row r="27" spans="1:5" x14ac:dyDescent="0.35">
      <c r="A27">
        <v>2164100</v>
      </c>
      <c r="B27" t="s">
        <v>184</v>
      </c>
      <c r="C27" t="s">
        <v>1312</v>
      </c>
      <c r="D27" t="s">
        <v>1313</v>
      </c>
      <c r="E27" t="s">
        <v>1314</v>
      </c>
    </row>
    <row r="28" spans="1:5" x14ac:dyDescent="0.35">
      <c r="A28">
        <v>1118023904</v>
      </c>
      <c r="B28" t="s">
        <v>576</v>
      </c>
      <c r="C28" t="s">
        <v>1315</v>
      </c>
      <c r="D28" t="s">
        <v>1285</v>
      </c>
      <c r="E28" t="s">
        <v>1316</v>
      </c>
    </row>
    <row r="29" spans="1:5" x14ac:dyDescent="0.35">
      <c r="A29">
        <v>1117980907</v>
      </c>
      <c r="B29" t="s">
        <v>1317</v>
      </c>
      <c r="C29" t="s">
        <v>1318</v>
      </c>
      <c r="D29" t="s">
        <v>1281</v>
      </c>
      <c r="E29" t="s">
        <v>1319</v>
      </c>
    </row>
    <row r="30" spans="1:5" x14ac:dyDescent="0.35">
      <c r="A30">
        <v>1117990944</v>
      </c>
      <c r="B30" t="s">
        <v>1320</v>
      </c>
      <c r="C30" t="s">
        <v>1321</v>
      </c>
      <c r="D30" t="s">
        <v>1285</v>
      </c>
      <c r="E30" t="s">
        <v>1322</v>
      </c>
    </row>
    <row r="31" spans="1:5" x14ac:dyDescent="0.35">
      <c r="A31">
        <v>1117982053</v>
      </c>
      <c r="B31" t="s">
        <v>233</v>
      </c>
      <c r="C31" t="s">
        <v>1323</v>
      </c>
      <c r="D31" t="s">
        <v>1285</v>
      </c>
      <c r="E31" t="s">
        <v>1324</v>
      </c>
    </row>
    <row r="32" spans="1:5" x14ac:dyDescent="0.35">
      <c r="A32">
        <v>1118031991</v>
      </c>
      <c r="B32" t="s">
        <v>1325</v>
      </c>
      <c r="C32" t="s">
        <v>1326</v>
      </c>
      <c r="D32" t="s">
        <v>1281</v>
      </c>
      <c r="E32" t="s">
        <v>1327</v>
      </c>
    </row>
    <row r="33" spans="1:6" x14ac:dyDescent="0.35">
      <c r="A33">
        <v>1117995368</v>
      </c>
      <c r="B33" t="s">
        <v>1328</v>
      </c>
      <c r="C33" t="s">
        <v>1329</v>
      </c>
      <c r="D33" t="s">
        <v>1285</v>
      </c>
      <c r="E33" t="s">
        <v>1330</v>
      </c>
    </row>
    <row r="34" spans="1:6" x14ac:dyDescent="0.35">
      <c r="A34">
        <v>1117975249</v>
      </c>
      <c r="B34" t="s">
        <v>1331</v>
      </c>
      <c r="C34" t="s">
        <v>1332</v>
      </c>
      <c r="D34" t="s">
        <v>1281</v>
      </c>
      <c r="E34" t="s">
        <v>1297</v>
      </c>
    </row>
    <row r="36" spans="1:6" ht="15.5" x14ac:dyDescent="0.35">
      <c r="A36" s="46" t="s">
        <v>1333</v>
      </c>
      <c r="B36" s="47"/>
      <c r="C36" s="47"/>
      <c r="D36" s="47"/>
      <c r="E36" s="47"/>
      <c r="F36" s="47"/>
    </row>
    <row r="38" spans="1:6" x14ac:dyDescent="0.35">
      <c r="A38" s="27" t="s">
        <v>1334</v>
      </c>
      <c r="B38" s="27" t="s">
        <v>1335</v>
      </c>
      <c r="C38" s="27" t="s">
        <v>1336</v>
      </c>
    </row>
    <row r="39" spans="1:6" x14ac:dyDescent="0.35">
      <c r="A39" t="s">
        <v>1337</v>
      </c>
      <c r="B39" t="s">
        <v>1338</v>
      </c>
      <c r="C39" t="s">
        <v>1339</v>
      </c>
    </row>
    <row r="40" spans="1:6" x14ac:dyDescent="0.35">
      <c r="A40" t="s">
        <v>1340</v>
      </c>
      <c r="B40" t="s">
        <v>1338</v>
      </c>
      <c r="C40" t="s">
        <v>1341</v>
      </c>
    </row>
    <row r="41" spans="1:6" x14ac:dyDescent="0.35">
      <c r="A41" t="s">
        <v>1342</v>
      </c>
      <c r="B41" t="s">
        <v>1343</v>
      </c>
      <c r="C41" t="s">
        <v>1344</v>
      </c>
    </row>
    <row r="42" spans="1:6" x14ac:dyDescent="0.35">
      <c r="A42" t="s">
        <v>1345</v>
      </c>
      <c r="B42" t="s">
        <v>1343</v>
      </c>
      <c r="C42" t="s">
        <v>1346</v>
      </c>
    </row>
    <row r="43" spans="1:6" x14ac:dyDescent="0.35">
      <c r="A43" t="s">
        <v>1347</v>
      </c>
      <c r="B43" t="s">
        <v>1343</v>
      </c>
      <c r="C43" t="s">
        <v>1348</v>
      </c>
    </row>
    <row r="44" spans="1:6" x14ac:dyDescent="0.35">
      <c r="A44" t="s">
        <v>1349</v>
      </c>
      <c r="B44" t="s">
        <v>1343</v>
      </c>
      <c r="C44" t="s">
        <v>1350</v>
      </c>
    </row>
    <row r="45" spans="1:6" x14ac:dyDescent="0.35">
      <c r="A45" t="s">
        <v>1351</v>
      </c>
      <c r="B45" t="s">
        <v>1343</v>
      </c>
      <c r="C45" t="s">
        <v>1350</v>
      </c>
    </row>
    <row r="46" spans="1:6" x14ac:dyDescent="0.35">
      <c r="A46" t="s">
        <v>1352</v>
      </c>
      <c r="B46" t="s">
        <v>1343</v>
      </c>
      <c r="C46" t="s">
        <v>1353</v>
      </c>
    </row>
    <row r="47" spans="1:6" x14ac:dyDescent="0.35">
      <c r="A47" t="s">
        <v>1354</v>
      </c>
      <c r="B47" t="s">
        <v>1343</v>
      </c>
      <c r="C47" t="s">
        <v>1355</v>
      </c>
    </row>
    <row r="48" spans="1:6" x14ac:dyDescent="0.35">
      <c r="A48" t="s">
        <v>1356</v>
      </c>
      <c r="B48" t="s">
        <v>1343</v>
      </c>
      <c r="C48" t="s">
        <v>1357</v>
      </c>
    </row>
    <row r="49" spans="1:6" x14ac:dyDescent="0.35">
      <c r="A49" t="s">
        <v>1358</v>
      </c>
      <c r="B49" t="s">
        <v>1359</v>
      </c>
      <c r="C49" s="43" t="s">
        <v>1360</v>
      </c>
    </row>
    <row r="52" spans="1:6" ht="15.5" x14ac:dyDescent="0.35">
      <c r="A52" s="48" t="s">
        <v>1361</v>
      </c>
      <c r="B52" s="49"/>
      <c r="C52" s="49"/>
      <c r="D52" s="49"/>
      <c r="E52" s="49"/>
      <c r="F52" s="49"/>
    </row>
    <row r="54" spans="1:6" x14ac:dyDescent="0.35">
      <c r="A54" s="27" t="s">
        <v>1201</v>
      </c>
      <c r="B54" s="27" t="s">
        <v>1362</v>
      </c>
      <c r="C54" s="27" t="s">
        <v>1363</v>
      </c>
      <c r="D54" s="27" t="s">
        <v>1364</v>
      </c>
    </row>
    <row r="55" spans="1:6" x14ac:dyDescent="0.35">
      <c r="A55" t="s">
        <v>1365</v>
      </c>
      <c r="B55" t="s">
        <v>1366</v>
      </c>
      <c r="C55" t="s">
        <v>1367</v>
      </c>
      <c r="D55" t="s">
        <v>1368</v>
      </c>
    </row>
    <row r="56" spans="1:6" x14ac:dyDescent="0.35">
      <c r="A56" t="s">
        <v>1369</v>
      </c>
      <c r="B56" t="s">
        <v>1370</v>
      </c>
      <c r="C56" t="s">
        <v>1371</v>
      </c>
      <c r="D56" t="s">
        <v>1372</v>
      </c>
    </row>
    <row r="57" spans="1:6" x14ac:dyDescent="0.35">
      <c r="A57" t="s">
        <v>1373</v>
      </c>
      <c r="B57" t="s">
        <v>1374</v>
      </c>
      <c r="C57" t="s">
        <v>1375</v>
      </c>
      <c r="D57" t="s">
        <v>1376</v>
      </c>
    </row>
    <row r="58" spans="1:6" x14ac:dyDescent="0.35">
      <c r="A58" t="s">
        <v>1377</v>
      </c>
      <c r="B58" t="s">
        <v>1378</v>
      </c>
      <c r="C58" t="s">
        <v>1379</v>
      </c>
      <c r="D58" t="s">
        <v>1380</v>
      </c>
    </row>
    <row r="59" spans="1:6" x14ac:dyDescent="0.35">
      <c r="A59" t="s">
        <v>1381</v>
      </c>
      <c r="B59" t="s">
        <v>1382</v>
      </c>
      <c r="C59" t="s">
        <v>1383</v>
      </c>
      <c r="D59" t="s">
        <v>1384</v>
      </c>
    </row>
    <row r="60" spans="1:6" x14ac:dyDescent="0.35">
      <c r="A60" t="s">
        <v>1385</v>
      </c>
      <c r="B60" t="s">
        <v>1386</v>
      </c>
      <c r="C60" t="s">
        <v>1387</v>
      </c>
      <c r="D60" t="s">
        <v>1388</v>
      </c>
    </row>
    <row r="61" spans="1:6" x14ac:dyDescent="0.35">
      <c r="A61" t="s">
        <v>1389</v>
      </c>
      <c r="B61" t="s">
        <v>1390</v>
      </c>
      <c r="C61" t="s">
        <v>1391</v>
      </c>
      <c r="D61" t="s">
        <v>1392</v>
      </c>
    </row>
    <row r="64" spans="1:6" ht="15.5" x14ac:dyDescent="0.35">
      <c r="A64" s="59" t="s">
        <v>1393</v>
      </c>
      <c r="B64" s="51"/>
      <c r="C64" s="51"/>
      <c r="D64" s="51"/>
      <c r="E64" s="51"/>
      <c r="F64" s="51"/>
    </row>
    <row r="66" spans="1:6" x14ac:dyDescent="0.35">
      <c r="A66" s="27" t="s">
        <v>1394</v>
      </c>
      <c r="B66" s="27" t="s">
        <v>1395</v>
      </c>
    </row>
    <row r="67" spans="1:6" x14ac:dyDescent="0.35">
      <c r="A67" t="s">
        <v>1396</v>
      </c>
      <c r="B67" t="s">
        <v>1397</v>
      </c>
    </row>
    <row r="68" spans="1:6" x14ac:dyDescent="0.35">
      <c r="A68" t="s">
        <v>1398</v>
      </c>
      <c r="B68" t="s">
        <v>1399</v>
      </c>
    </row>
    <row r="69" spans="1:6" x14ac:dyDescent="0.35">
      <c r="A69" t="s">
        <v>1400</v>
      </c>
      <c r="B69" t="s">
        <v>1401</v>
      </c>
    </row>
    <row r="70" spans="1:6" x14ac:dyDescent="0.35">
      <c r="A70" t="s">
        <v>1402</v>
      </c>
      <c r="B70" t="s">
        <v>1403</v>
      </c>
    </row>
    <row r="71" spans="1:6" x14ac:dyDescent="0.35">
      <c r="A71" t="s">
        <v>1404</v>
      </c>
      <c r="B71" t="s">
        <v>1405</v>
      </c>
    </row>
    <row r="72" spans="1:6" x14ac:dyDescent="0.35">
      <c r="A72" t="s">
        <v>1406</v>
      </c>
      <c r="B72" t="s">
        <v>1407</v>
      </c>
    </row>
    <row r="73" spans="1:6" x14ac:dyDescent="0.35">
      <c r="A73" t="s">
        <v>1408</v>
      </c>
      <c r="B73" t="s">
        <v>1409</v>
      </c>
    </row>
    <row r="74" spans="1:6" x14ac:dyDescent="0.35">
      <c r="A74" t="s">
        <v>1410</v>
      </c>
      <c r="B74" t="s">
        <v>1411</v>
      </c>
    </row>
    <row r="75" spans="1:6" x14ac:dyDescent="0.35">
      <c r="A75" t="s">
        <v>1412</v>
      </c>
      <c r="B75" t="s">
        <v>1413</v>
      </c>
    </row>
    <row r="76" spans="1:6" x14ac:dyDescent="0.35">
      <c r="A76" t="s">
        <v>1414</v>
      </c>
      <c r="B76" t="s">
        <v>1415</v>
      </c>
    </row>
    <row r="79" spans="1:6" ht="15.5" x14ac:dyDescent="0.35">
      <c r="A79" s="37" t="s">
        <v>1416</v>
      </c>
      <c r="B79" s="38"/>
      <c r="C79" s="38"/>
      <c r="D79" s="38"/>
      <c r="E79" s="38"/>
      <c r="F79" s="38"/>
    </row>
    <row r="81" spans="1:2" x14ac:dyDescent="0.35">
      <c r="A81" s="26" t="s">
        <v>1417</v>
      </c>
    </row>
    <row r="82" spans="1:2" x14ac:dyDescent="0.35">
      <c r="A82" t="s">
        <v>1418</v>
      </c>
      <c r="B82" t="s">
        <v>1419</v>
      </c>
    </row>
    <row r="83" spans="1:2" x14ac:dyDescent="0.35">
      <c r="A83" t="s">
        <v>1418</v>
      </c>
      <c r="B83" t="s">
        <v>1420</v>
      </c>
    </row>
    <row r="84" spans="1:2" x14ac:dyDescent="0.35">
      <c r="A84" t="s">
        <v>1418</v>
      </c>
      <c r="B84" t="s">
        <v>1421</v>
      </c>
    </row>
    <row r="85" spans="1:2" x14ac:dyDescent="0.35">
      <c r="A85" t="s">
        <v>1418</v>
      </c>
      <c r="B85" t="s">
        <v>1422</v>
      </c>
    </row>
    <row r="86" spans="1:2" x14ac:dyDescent="0.35">
      <c r="A86" t="s">
        <v>1418</v>
      </c>
      <c r="B86" t="s">
        <v>1423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FD685-DE94-4E6A-BEC2-614EC6375278}">
  <sheetPr>
    <tabColor rgb="FF4CAF50"/>
  </sheetPr>
  <dimension ref="A1:J188"/>
  <sheetViews>
    <sheetView workbookViewId="0">
      <pane ySplit="1" topLeftCell="A39" activePane="bottomLeft" state="frozen"/>
      <selection pane="bottomLeft" activeCell="A52" sqref="A52"/>
    </sheetView>
  </sheetViews>
  <sheetFormatPr baseColWidth="10" defaultRowHeight="14.5" x14ac:dyDescent="0.35"/>
  <cols>
    <col min="1" max="1" width="65.1796875" bestFit="1" customWidth="1"/>
    <col min="2" max="2" width="15.1796875" bestFit="1" customWidth="1"/>
    <col min="3" max="3" width="25.26953125" bestFit="1" customWidth="1"/>
    <col min="4" max="4" width="42.7265625" bestFit="1" customWidth="1"/>
    <col min="5" max="5" width="45.26953125" bestFit="1" customWidth="1"/>
    <col min="6" max="6" width="67.1796875" bestFit="1" customWidth="1"/>
    <col min="7" max="7" width="27.453125" bestFit="1" customWidth="1"/>
    <col min="8" max="8" width="29.7265625" bestFit="1" customWidth="1"/>
    <col min="9" max="9" width="9" bestFit="1" customWidth="1"/>
    <col min="10" max="10" width="10.54296875" bestFit="1" customWidth="1"/>
  </cols>
  <sheetData>
    <row r="1" spans="1:10" x14ac:dyDescent="0.35">
      <c r="A1" s="71" t="s">
        <v>1424</v>
      </c>
      <c r="B1" s="71" t="s">
        <v>1425</v>
      </c>
      <c r="C1" s="71" t="s">
        <v>1426</v>
      </c>
      <c r="D1" s="71" t="s">
        <v>1427</v>
      </c>
      <c r="E1" s="71" t="s">
        <v>1428</v>
      </c>
      <c r="F1" s="71" t="s">
        <v>669</v>
      </c>
      <c r="G1" s="71" t="s">
        <v>1429</v>
      </c>
      <c r="H1" s="71" t="s">
        <v>1430</v>
      </c>
      <c r="I1" s="71" t="s">
        <v>1431</v>
      </c>
      <c r="J1" s="71" t="s">
        <v>1606</v>
      </c>
    </row>
    <row r="2" spans="1:10" x14ac:dyDescent="0.35">
      <c r="A2" t="s">
        <v>1432</v>
      </c>
      <c r="B2" t="s">
        <v>1433</v>
      </c>
      <c r="C2" t="s">
        <v>1434</v>
      </c>
      <c r="D2" t="s">
        <v>1435</v>
      </c>
      <c r="E2" t="s">
        <v>1436</v>
      </c>
      <c r="F2" t="s">
        <v>1437</v>
      </c>
      <c r="G2" t="s">
        <v>1438</v>
      </c>
      <c r="H2" t="s">
        <v>1607</v>
      </c>
      <c r="I2" t="s">
        <v>1439</v>
      </c>
      <c r="J2">
        <v>8</v>
      </c>
    </row>
    <row r="3" spans="1:10" x14ac:dyDescent="0.35">
      <c r="A3" t="s">
        <v>1608</v>
      </c>
      <c r="B3" t="s">
        <v>1433</v>
      </c>
      <c r="C3" t="s">
        <v>1434</v>
      </c>
      <c r="D3" t="s">
        <v>1443</v>
      </c>
      <c r="E3" t="s">
        <v>1609</v>
      </c>
      <c r="F3" t="s">
        <v>1610</v>
      </c>
      <c r="G3" t="s">
        <v>1438</v>
      </c>
      <c r="H3" t="s">
        <v>1607</v>
      </c>
      <c r="I3" t="s">
        <v>1439</v>
      </c>
      <c r="J3">
        <v>3</v>
      </c>
    </row>
    <row r="4" spans="1:10" x14ac:dyDescent="0.35">
      <c r="A4" t="s">
        <v>1442</v>
      </c>
      <c r="B4" t="s">
        <v>1433</v>
      </c>
      <c r="C4" t="s">
        <v>1434</v>
      </c>
      <c r="D4" t="s">
        <v>1443</v>
      </c>
      <c r="E4" t="s">
        <v>1609</v>
      </c>
      <c r="F4" t="s">
        <v>1610</v>
      </c>
      <c r="G4" t="s">
        <v>1438</v>
      </c>
      <c r="H4" t="s">
        <v>1607</v>
      </c>
      <c r="I4" t="s">
        <v>1439</v>
      </c>
      <c r="J4">
        <v>2</v>
      </c>
    </row>
    <row r="5" spans="1:10" x14ac:dyDescent="0.35">
      <c r="A5" t="s">
        <v>1611</v>
      </c>
      <c r="B5" t="s">
        <v>1433</v>
      </c>
      <c r="C5" t="s">
        <v>1434</v>
      </c>
      <c r="D5" t="s">
        <v>1443</v>
      </c>
      <c r="E5" t="s">
        <v>1609</v>
      </c>
      <c r="F5" t="s">
        <v>1610</v>
      </c>
      <c r="G5" t="s">
        <v>1438</v>
      </c>
      <c r="H5" t="s">
        <v>1607</v>
      </c>
      <c r="I5" t="s">
        <v>1439</v>
      </c>
      <c r="J5">
        <v>1</v>
      </c>
    </row>
    <row r="6" spans="1:10" x14ac:dyDescent="0.35">
      <c r="A6" t="s">
        <v>1612</v>
      </c>
      <c r="B6" t="s">
        <v>1433</v>
      </c>
      <c r="C6" t="s">
        <v>1434</v>
      </c>
      <c r="D6" t="s">
        <v>1443</v>
      </c>
      <c r="E6" t="s">
        <v>1609</v>
      </c>
      <c r="F6" t="s">
        <v>1610</v>
      </c>
      <c r="G6" t="s">
        <v>1438</v>
      </c>
      <c r="H6" t="s">
        <v>1607</v>
      </c>
      <c r="I6" t="s">
        <v>1439</v>
      </c>
      <c r="J6">
        <v>1</v>
      </c>
    </row>
    <row r="7" spans="1:10" x14ac:dyDescent="0.35">
      <c r="A7" t="s">
        <v>1440</v>
      </c>
      <c r="B7" t="s">
        <v>1433</v>
      </c>
      <c r="C7" t="s">
        <v>1613</v>
      </c>
      <c r="D7" t="s">
        <v>1435</v>
      </c>
      <c r="E7" t="s">
        <v>1436</v>
      </c>
      <c r="F7" t="s">
        <v>1437</v>
      </c>
      <c r="G7" t="s">
        <v>1438</v>
      </c>
      <c r="H7" t="s">
        <v>1607</v>
      </c>
      <c r="I7" t="s">
        <v>1439</v>
      </c>
      <c r="J7">
        <v>4</v>
      </c>
    </row>
    <row r="8" spans="1:10" x14ac:dyDescent="0.35">
      <c r="A8" t="s">
        <v>1441</v>
      </c>
      <c r="B8" t="s">
        <v>1433</v>
      </c>
      <c r="C8" t="s">
        <v>1613</v>
      </c>
      <c r="D8" t="s">
        <v>1435</v>
      </c>
      <c r="E8" t="s">
        <v>1436</v>
      </c>
      <c r="F8" t="s">
        <v>1437</v>
      </c>
      <c r="G8" t="s">
        <v>1438</v>
      </c>
      <c r="H8" t="s">
        <v>1607</v>
      </c>
      <c r="I8" t="s">
        <v>1439</v>
      </c>
      <c r="J8">
        <v>2</v>
      </c>
    </row>
    <row r="9" spans="1:10" x14ac:dyDescent="0.35">
      <c r="A9" t="s">
        <v>1614</v>
      </c>
      <c r="B9" t="s">
        <v>1433</v>
      </c>
      <c r="C9" t="s">
        <v>1613</v>
      </c>
      <c r="D9" t="s">
        <v>1435</v>
      </c>
      <c r="E9" t="s">
        <v>1436</v>
      </c>
      <c r="F9" t="s">
        <v>1437</v>
      </c>
      <c r="G9" t="s">
        <v>1438</v>
      </c>
      <c r="H9" t="s">
        <v>1607</v>
      </c>
      <c r="I9" t="s">
        <v>1439</v>
      </c>
      <c r="J9">
        <v>1</v>
      </c>
    </row>
    <row r="10" spans="1:10" x14ac:dyDescent="0.35">
      <c r="A10" t="s">
        <v>1615</v>
      </c>
      <c r="B10" t="s">
        <v>1433</v>
      </c>
      <c r="C10" t="s">
        <v>1616</v>
      </c>
      <c r="D10" t="s">
        <v>1617</v>
      </c>
      <c r="E10" t="s">
        <v>1618</v>
      </c>
      <c r="F10" t="s">
        <v>1619</v>
      </c>
      <c r="G10" t="s">
        <v>1438</v>
      </c>
      <c r="H10" t="s">
        <v>1620</v>
      </c>
      <c r="I10" t="s">
        <v>1439</v>
      </c>
      <c r="J10">
        <v>1</v>
      </c>
    </row>
    <row r="11" spans="1:10" x14ac:dyDescent="0.35">
      <c r="A11" t="s">
        <v>1621</v>
      </c>
      <c r="B11" t="s">
        <v>1433</v>
      </c>
      <c r="C11" t="s">
        <v>1616</v>
      </c>
      <c r="D11" t="s">
        <v>1617</v>
      </c>
      <c r="E11" t="s">
        <v>1618</v>
      </c>
      <c r="F11" t="s">
        <v>1619</v>
      </c>
      <c r="G11" t="s">
        <v>1438</v>
      </c>
      <c r="H11" t="s">
        <v>1620</v>
      </c>
      <c r="I11" t="s">
        <v>1439</v>
      </c>
      <c r="J11">
        <v>1</v>
      </c>
    </row>
    <row r="12" spans="1:10" x14ac:dyDescent="0.35">
      <c r="A12" t="s">
        <v>1622</v>
      </c>
      <c r="B12" t="s">
        <v>1433</v>
      </c>
      <c r="C12" t="s">
        <v>1616</v>
      </c>
      <c r="D12" t="s">
        <v>1617</v>
      </c>
      <c r="E12" t="s">
        <v>1618</v>
      </c>
      <c r="F12" t="s">
        <v>1619</v>
      </c>
      <c r="G12" t="s">
        <v>1438</v>
      </c>
      <c r="H12" t="s">
        <v>1620</v>
      </c>
      <c r="I12" t="s">
        <v>1439</v>
      </c>
      <c r="J12">
        <v>1</v>
      </c>
    </row>
    <row r="13" spans="1:10" x14ac:dyDescent="0.35">
      <c r="A13" t="s">
        <v>1444</v>
      </c>
      <c r="B13" t="s">
        <v>1433</v>
      </c>
      <c r="C13" t="s">
        <v>1445</v>
      </c>
      <c r="D13" t="s">
        <v>1623</v>
      </c>
      <c r="E13" t="s">
        <v>1446</v>
      </c>
      <c r="F13" t="s">
        <v>1624</v>
      </c>
      <c r="G13" t="s">
        <v>1438</v>
      </c>
      <c r="H13" t="s">
        <v>1590</v>
      </c>
      <c r="I13" t="s">
        <v>1439</v>
      </c>
      <c r="J13">
        <v>3</v>
      </c>
    </row>
    <row r="14" spans="1:10" x14ac:dyDescent="0.35">
      <c r="A14" t="s">
        <v>1625</v>
      </c>
      <c r="B14" t="s">
        <v>1433</v>
      </c>
      <c r="C14" t="s">
        <v>1445</v>
      </c>
      <c r="D14" t="s">
        <v>1623</v>
      </c>
      <c r="E14" t="s">
        <v>1446</v>
      </c>
      <c r="F14" t="s">
        <v>1624</v>
      </c>
      <c r="G14" t="s">
        <v>1438</v>
      </c>
      <c r="H14" t="s">
        <v>1590</v>
      </c>
      <c r="I14" t="s">
        <v>1439</v>
      </c>
      <c r="J14">
        <v>1</v>
      </c>
    </row>
    <row r="15" spans="1:10" x14ac:dyDescent="0.35">
      <c r="A15" t="s">
        <v>1626</v>
      </c>
      <c r="B15" t="s">
        <v>1433</v>
      </c>
      <c r="C15" t="s">
        <v>1445</v>
      </c>
      <c r="D15" t="s">
        <v>1623</v>
      </c>
      <c r="E15" t="s">
        <v>1446</v>
      </c>
      <c r="F15" t="s">
        <v>1624</v>
      </c>
      <c r="G15" t="s">
        <v>1438</v>
      </c>
      <c r="H15" t="s">
        <v>1590</v>
      </c>
      <c r="I15" t="s">
        <v>1439</v>
      </c>
      <c r="J15">
        <v>1</v>
      </c>
    </row>
    <row r="16" spans="1:10" x14ac:dyDescent="0.35">
      <c r="A16" t="s">
        <v>1627</v>
      </c>
      <c r="B16" t="s">
        <v>1433</v>
      </c>
      <c r="C16" t="s">
        <v>1445</v>
      </c>
      <c r="D16" t="s">
        <v>1623</v>
      </c>
      <c r="E16" t="s">
        <v>1446</v>
      </c>
      <c r="F16" t="s">
        <v>1624</v>
      </c>
      <c r="G16" t="s">
        <v>1438</v>
      </c>
      <c r="H16" t="s">
        <v>1590</v>
      </c>
      <c r="I16" t="s">
        <v>1439</v>
      </c>
      <c r="J16">
        <v>1</v>
      </c>
    </row>
    <row r="17" spans="1:10" x14ac:dyDescent="0.35">
      <c r="A17" t="s">
        <v>1628</v>
      </c>
      <c r="B17" t="s">
        <v>1433</v>
      </c>
      <c r="C17" t="s">
        <v>1445</v>
      </c>
      <c r="D17" t="s">
        <v>1623</v>
      </c>
      <c r="E17" t="s">
        <v>1446</v>
      </c>
      <c r="F17" t="s">
        <v>1624</v>
      </c>
      <c r="G17" t="s">
        <v>1438</v>
      </c>
      <c r="H17" t="s">
        <v>1590</v>
      </c>
      <c r="I17" t="s">
        <v>1439</v>
      </c>
      <c r="J17">
        <v>1</v>
      </c>
    </row>
    <row r="18" spans="1:10" x14ac:dyDescent="0.35">
      <c r="A18" t="s">
        <v>1447</v>
      </c>
      <c r="B18" t="s">
        <v>1433</v>
      </c>
      <c r="C18" t="s">
        <v>1448</v>
      </c>
      <c r="D18" t="s">
        <v>1449</v>
      </c>
      <c r="E18" t="s">
        <v>1450</v>
      </c>
      <c r="F18" t="s">
        <v>1629</v>
      </c>
      <c r="G18" t="s">
        <v>1438</v>
      </c>
      <c r="H18" t="s">
        <v>1590</v>
      </c>
      <c r="I18" t="s">
        <v>1439</v>
      </c>
      <c r="J18">
        <v>2</v>
      </c>
    </row>
    <row r="19" spans="1:10" x14ac:dyDescent="0.35">
      <c r="A19" t="s">
        <v>1451</v>
      </c>
      <c r="B19" t="s">
        <v>1433</v>
      </c>
      <c r="C19" t="s">
        <v>1448</v>
      </c>
      <c r="D19" t="s">
        <v>1449</v>
      </c>
      <c r="E19" t="s">
        <v>1450</v>
      </c>
      <c r="F19" t="s">
        <v>1629</v>
      </c>
      <c r="G19" t="s">
        <v>1438</v>
      </c>
      <c r="H19" t="s">
        <v>1590</v>
      </c>
      <c r="I19" t="s">
        <v>1439</v>
      </c>
      <c r="J19">
        <v>2</v>
      </c>
    </row>
    <row r="20" spans="1:10" x14ac:dyDescent="0.35">
      <c r="A20" t="s">
        <v>1452</v>
      </c>
      <c r="B20" t="s">
        <v>1433</v>
      </c>
      <c r="C20" t="s">
        <v>1453</v>
      </c>
      <c r="D20" t="s">
        <v>1454</v>
      </c>
      <c r="E20" t="s">
        <v>1455</v>
      </c>
      <c r="F20" t="s">
        <v>1630</v>
      </c>
      <c r="G20" t="s">
        <v>1438</v>
      </c>
      <c r="H20" t="s">
        <v>1580</v>
      </c>
      <c r="I20" t="s">
        <v>1439</v>
      </c>
      <c r="J20">
        <v>2</v>
      </c>
    </row>
    <row r="21" spans="1:10" x14ac:dyDescent="0.35">
      <c r="A21" t="s">
        <v>1631</v>
      </c>
      <c r="B21" t="s">
        <v>1433</v>
      </c>
      <c r="C21" t="s">
        <v>1453</v>
      </c>
      <c r="D21" t="s">
        <v>1454</v>
      </c>
      <c r="E21" t="s">
        <v>1455</v>
      </c>
      <c r="F21" t="s">
        <v>1630</v>
      </c>
      <c r="G21" t="s">
        <v>1438</v>
      </c>
      <c r="H21" t="s">
        <v>1580</v>
      </c>
      <c r="I21" t="s">
        <v>1439</v>
      </c>
      <c r="J21">
        <v>1</v>
      </c>
    </row>
    <row r="22" spans="1:10" x14ac:dyDescent="0.35">
      <c r="A22" t="s">
        <v>1456</v>
      </c>
      <c r="B22" t="s">
        <v>1433</v>
      </c>
      <c r="C22" t="s">
        <v>1453</v>
      </c>
      <c r="D22" t="s">
        <v>1454</v>
      </c>
      <c r="E22" t="s">
        <v>1455</v>
      </c>
      <c r="F22" t="s">
        <v>1630</v>
      </c>
      <c r="G22" t="s">
        <v>1438</v>
      </c>
      <c r="H22" t="s">
        <v>1580</v>
      </c>
      <c r="I22" t="s">
        <v>1439</v>
      </c>
      <c r="J22">
        <v>2</v>
      </c>
    </row>
    <row r="23" spans="1:10" x14ac:dyDescent="0.35">
      <c r="A23" t="s">
        <v>1632</v>
      </c>
      <c r="B23" t="s">
        <v>1433</v>
      </c>
      <c r="C23" t="s">
        <v>1453</v>
      </c>
      <c r="D23" t="s">
        <v>1454</v>
      </c>
      <c r="E23" t="s">
        <v>1455</v>
      </c>
      <c r="F23" t="s">
        <v>1630</v>
      </c>
      <c r="G23" t="s">
        <v>1438</v>
      </c>
      <c r="H23" t="s">
        <v>1580</v>
      </c>
      <c r="I23" t="s">
        <v>1439</v>
      </c>
      <c r="J23">
        <v>1</v>
      </c>
    </row>
    <row r="24" spans="1:10" x14ac:dyDescent="0.35">
      <c r="A24" t="s">
        <v>1459</v>
      </c>
      <c r="B24" t="s">
        <v>1433</v>
      </c>
      <c r="C24" t="s">
        <v>1460</v>
      </c>
      <c r="D24" t="s">
        <v>1633</v>
      </c>
      <c r="E24" t="s">
        <v>1461</v>
      </c>
      <c r="F24" t="s">
        <v>1634</v>
      </c>
      <c r="G24" t="s">
        <v>1438</v>
      </c>
      <c r="H24" t="s">
        <v>1462</v>
      </c>
      <c r="I24" t="s">
        <v>1439</v>
      </c>
      <c r="J24">
        <v>1</v>
      </c>
    </row>
    <row r="25" spans="1:10" x14ac:dyDescent="0.35">
      <c r="A25" t="s">
        <v>1463</v>
      </c>
      <c r="B25" t="s">
        <v>1433</v>
      </c>
      <c r="C25" t="s">
        <v>1460</v>
      </c>
      <c r="D25" t="s">
        <v>1464</v>
      </c>
      <c r="E25" t="s">
        <v>1465</v>
      </c>
      <c r="F25" t="s">
        <v>1635</v>
      </c>
      <c r="G25" t="s">
        <v>1438</v>
      </c>
      <c r="H25" t="s">
        <v>1462</v>
      </c>
      <c r="I25" t="s">
        <v>1439</v>
      </c>
      <c r="J25">
        <v>1</v>
      </c>
    </row>
    <row r="26" spans="1:10" x14ac:dyDescent="0.35">
      <c r="A26" t="s">
        <v>1466</v>
      </c>
      <c r="B26" t="s">
        <v>1433</v>
      </c>
      <c r="C26" t="s">
        <v>1460</v>
      </c>
      <c r="D26" t="s">
        <v>1464</v>
      </c>
      <c r="E26" t="s">
        <v>1465</v>
      </c>
      <c r="F26" t="s">
        <v>1635</v>
      </c>
      <c r="G26" t="s">
        <v>1438</v>
      </c>
      <c r="H26" t="s">
        <v>1462</v>
      </c>
      <c r="I26" t="s">
        <v>1439</v>
      </c>
      <c r="J26">
        <v>1</v>
      </c>
    </row>
    <row r="27" spans="1:10" x14ac:dyDescent="0.35">
      <c r="A27" t="s">
        <v>1636</v>
      </c>
      <c r="B27" t="s">
        <v>1433</v>
      </c>
      <c r="C27" t="s">
        <v>1489</v>
      </c>
      <c r="D27" t="s">
        <v>1637</v>
      </c>
      <c r="E27" t="s">
        <v>1638</v>
      </c>
      <c r="F27" t="s">
        <v>1639</v>
      </c>
      <c r="G27" t="s">
        <v>1438</v>
      </c>
      <c r="H27" t="s">
        <v>1491</v>
      </c>
      <c r="I27" t="s">
        <v>1439</v>
      </c>
      <c r="J27">
        <v>1</v>
      </c>
    </row>
    <row r="28" spans="1:10" x14ac:dyDescent="0.35">
      <c r="A28" t="s">
        <v>1467</v>
      </c>
      <c r="B28" t="s">
        <v>1433</v>
      </c>
      <c r="C28" t="s">
        <v>1640</v>
      </c>
      <c r="D28" t="s">
        <v>1468</v>
      </c>
      <c r="E28" t="s">
        <v>1469</v>
      </c>
      <c r="F28" t="s">
        <v>1641</v>
      </c>
      <c r="G28" t="s">
        <v>1438</v>
      </c>
      <c r="H28" t="s">
        <v>1470</v>
      </c>
      <c r="I28" t="s">
        <v>1439</v>
      </c>
      <c r="J28">
        <v>1</v>
      </c>
    </row>
    <row r="29" spans="1:10" x14ac:dyDescent="0.35">
      <c r="A29" t="s">
        <v>1471</v>
      </c>
      <c r="B29" t="s">
        <v>1433</v>
      </c>
      <c r="C29" t="s">
        <v>1640</v>
      </c>
      <c r="D29" t="s">
        <v>1472</v>
      </c>
      <c r="E29" t="s">
        <v>1473</v>
      </c>
      <c r="F29" t="s">
        <v>1642</v>
      </c>
      <c r="G29" t="s">
        <v>1438</v>
      </c>
      <c r="H29" t="s">
        <v>1470</v>
      </c>
      <c r="I29" t="s">
        <v>1439</v>
      </c>
      <c r="J29">
        <v>1</v>
      </c>
    </row>
    <row r="30" spans="1:10" x14ac:dyDescent="0.35">
      <c r="A30" t="s">
        <v>1480</v>
      </c>
      <c r="B30" t="s">
        <v>1433</v>
      </c>
      <c r="C30" t="s">
        <v>1481</v>
      </c>
      <c r="D30" t="s">
        <v>1482</v>
      </c>
      <c r="E30" t="s">
        <v>1483</v>
      </c>
      <c r="F30" t="s">
        <v>1643</v>
      </c>
      <c r="G30" t="s">
        <v>1438</v>
      </c>
      <c r="H30" t="s">
        <v>1590</v>
      </c>
      <c r="I30" t="s">
        <v>1439</v>
      </c>
      <c r="J30">
        <v>1</v>
      </c>
    </row>
    <row r="31" spans="1:10" x14ac:dyDescent="0.35">
      <c r="A31" t="s">
        <v>1644</v>
      </c>
      <c r="B31" t="s">
        <v>1433</v>
      </c>
      <c r="C31" t="s">
        <v>1481</v>
      </c>
      <c r="D31" t="s">
        <v>1482</v>
      </c>
      <c r="E31" t="s">
        <v>1483</v>
      </c>
      <c r="F31" t="s">
        <v>1643</v>
      </c>
      <c r="G31" t="s">
        <v>1438</v>
      </c>
      <c r="H31" t="s">
        <v>1590</v>
      </c>
      <c r="I31" t="s">
        <v>1439</v>
      </c>
      <c r="J31">
        <v>1</v>
      </c>
    </row>
    <row r="32" spans="1:10" x14ac:dyDescent="0.35">
      <c r="A32" t="s">
        <v>1484</v>
      </c>
      <c r="B32" t="s">
        <v>1433</v>
      </c>
      <c r="C32" t="s">
        <v>1481</v>
      </c>
      <c r="D32" t="s">
        <v>1482</v>
      </c>
      <c r="E32" t="s">
        <v>1483</v>
      </c>
      <c r="F32" t="s">
        <v>1643</v>
      </c>
      <c r="G32" t="s">
        <v>1438</v>
      </c>
      <c r="H32" t="s">
        <v>1590</v>
      </c>
      <c r="I32" t="s">
        <v>1439</v>
      </c>
      <c r="J32">
        <v>2</v>
      </c>
    </row>
    <row r="33" spans="1:10" x14ac:dyDescent="0.35">
      <c r="A33" t="s">
        <v>1485</v>
      </c>
      <c r="B33" t="s">
        <v>1433</v>
      </c>
      <c r="C33" t="s">
        <v>1645</v>
      </c>
      <c r="D33" t="s">
        <v>1486</v>
      </c>
      <c r="E33" t="s">
        <v>1487</v>
      </c>
      <c r="F33" t="s">
        <v>1646</v>
      </c>
      <c r="G33" t="s">
        <v>1438</v>
      </c>
      <c r="H33" t="s">
        <v>1590</v>
      </c>
      <c r="I33" t="s">
        <v>1439</v>
      </c>
      <c r="J33">
        <v>1</v>
      </c>
    </row>
    <row r="34" spans="1:10" x14ac:dyDescent="0.35">
      <c r="A34" t="s">
        <v>1582</v>
      </c>
      <c r="B34" t="s">
        <v>1433</v>
      </c>
      <c r="C34" t="s">
        <v>1583</v>
      </c>
      <c r="D34" t="s">
        <v>1647</v>
      </c>
      <c r="E34" t="s">
        <v>1584</v>
      </c>
      <c r="F34" t="s">
        <v>1648</v>
      </c>
      <c r="G34" t="s">
        <v>1649</v>
      </c>
      <c r="H34" t="s">
        <v>1585</v>
      </c>
      <c r="I34" t="s">
        <v>1439</v>
      </c>
      <c r="J34">
        <v>1</v>
      </c>
    </row>
    <row r="35" spans="1:10" x14ac:dyDescent="0.35">
      <c r="A35" t="s">
        <v>1586</v>
      </c>
      <c r="B35" t="s">
        <v>1433</v>
      </c>
      <c r="C35" t="s">
        <v>1587</v>
      </c>
      <c r="D35" t="s">
        <v>1588</v>
      </c>
      <c r="E35" t="s">
        <v>1589</v>
      </c>
      <c r="F35" t="s">
        <v>1650</v>
      </c>
      <c r="G35" t="s">
        <v>1438</v>
      </c>
      <c r="H35" t="s">
        <v>1590</v>
      </c>
      <c r="I35" t="s">
        <v>1439</v>
      </c>
      <c r="J35">
        <v>1</v>
      </c>
    </row>
    <row r="36" spans="1:10" x14ac:dyDescent="0.35">
      <c r="A36" t="s">
        <v>1550</v>
      </c>
      <c r="B36" t="s">
        <v>1433</v>
      </c>
      <c r="C36" t="s">
        <v>1551</v>
      </c>
      <c r="D36" t="s">
        <v>1552</v>
      </c>
      <c r="E36" t="s">
        <v>1553</v>
      </c>
      <c r="F36" t="s">
        <v>1651</v>
      </c>
      <c r="G36" t="s">
        <v>1649</v>
      </c>
      <c r="H36" t="s">
        <v>1652</v>
      </c>
      <c r="I36" t="s">
        <v>1498</v>
      </c>
      <c r="J36">
        <v>1</v>
      </c>
    </row>
    <row r="37" spans="1:10" x14ac:dyDescent="0.35">
      <c r="A37" t="s">
        <v>1554</v>
      </c>
      <c r="B37" t="s">
        <v>1433</v>
      </c>
      <c r="C37" t="s">
        <v>1555</v>
      </c>
      <c r="D37" t="s">
        <v>1556</v>
      </c>
      <c r="E37" t="s">
        <v>1557</v>
      </c>
      <c r="F37" t="s">
        <v>1653</v>
      </c>
      <c r="G37" t="s">
        <v>1649</v>
      </c>
      <c r="H37" t="s">
        <v>1654</v>
      </c>
      <c r="I37" t="s">
        <v>1498</v>
      </c>
      <c r="J37">
        <v>1</v>
      </c>
    </row>
    <row r="38" spans="1:10" x14ac:dyDescent="0.35">
      <c r="A38" t="s">
        <v>1655</v>
      </c>
      <c r="B38" t="s">
        <v>1433</v>
      </c>
      <c r="C38" t="s">
        <v>1555</v>
      </c>
      <c r="D38" t="s">
        <v>1656</v>
      </c>
      <c r="E38" t="s">
        <v>1657</v>
      </c>
      <c r="F38" t="s">
        <v>1658</v>
      </c>
      <c r="G38" t="s">
        <v>1649</v>
      </c>
      <c r="H38" t="s">
        <v>1654</v>
      </c>
      <c r="I38" t="s">
        <v>1498</v>
      </c>
      <c r="J38">
        <v>1</v>
      </c>
    </row>
    <row r="39" spans="1:10" x14ac:dyDescent="0.35">
      <c r="A39" t="s">
        <v>1659</v>
      </c>
      <c r="B39" t="s">
        <v>1433</v>
      </c>
      <c r="C39" t="s">
        <v>1562</v>
      </c>
      <c r="D39" t="s">
        <v>1563</v>
      </c>
      <c r="E39" t="s">
        <v>1564</v>
      </c>
      <c r="F39" t="s">
        <v>1660</v>
      </c>
      <c r="G39" t="s">
        <v>1565</v>
      </c>
      <c r="H39" t="s">
        <v>1661</v>
      </c>
      <c r="I39" t="s">
        <v>1498</v>
      </c>
      <c r="J39">
        <v>1</v>
      </c>
    </row>
    <row r="40" spans="1:10" x14ac:dyDescent="0.35">
      <c r="A40" t="s">
        <v>1662</v>
      </c>
      <c r="B40" t="s">
        <v>1433</v>
      </c>
      <c r="C40" t="s">
        <v>1562</v>
      </c>
      <c r="D40" t="s">
        <v>1663</v>
      </c>
      <c r="E40" t="s">
        <v>1664</v>
      </c>
      <c r="F40" t="s">
        <v>1665</v>
      </c>
      <c r="G40" t="s">
        <v>1666</v>
      </c>
      <c r="H40" t="s">
        <v>1667</v>
      </c>
      <c r="I40" t="s">
        <v>1498</v>
      </c>
      <c r="J40">
        <v>1</v>
      </c>
    </row>
    <row r="41" spans="1:10" x14ac:dyDescent="0.35">
      <c r="A41" t="s">
        <v>1668</v>
      </c>
      <c r="B41" t="s">
        <v>1433</v>
      </c>
      <c r="C41" t="s">
        <v>1562</v>
      </c>
      <c r="D41" t="s">
        <v>1669</v>
      </c>
      <c r="E41" t="s">
        <v>1670</v>
      </c>
      <c r="F41" t="s">
        <v>1671</v>
      </c>
      <c r="G41" t="s">
        <v>1666</v>
      </c>
      <c r="H41" t="s">
        <v>1667</v>
      </c>
      <c r="I41" t="s">
        <v>1498</v>
      </c>
      <c r="J41">
        <v>1</v>
      </c>
    </row>
    <row r="42" spans="1:10" x14ac:dyDescent="0.35">
      <c r="A42" t="s">
        <v>1672</v>
      </c>
      <c r="B42" t="s">
        <v>1433</v>
      </c>
      <c r="C42" t="s">
        <v>1562</v>
      </c>
      <c r="D42" t="s">
        <v>1673</v>
      </c>
      <c r="E42" t="s">
        <v>1674</v>
      </c>
      <c r="F42" t="s">
        <v>1675</v>
      </c>
      <c r="G42" t="s">
        <v>1666</v>
      </c>
      <c r="H42" t="s">
        <v>1667</v>
      </c>
      <c r="I42" t="s">
        <v>1498</v>
      </c>
      <c r="J42">
        <v>1</v>
      </c>
    </row>
    <row r="43" spans="1:10" x14ac:dyDescent="0.35">
      <c r="A43" t="s">
        <v>1676</v>
      </c>
      <c r="B43" t="s">
        <v>1433</v>
      </c>
      <c r="C43" t="s">
        <v>1558</v>
      </c>
      <c r="D43" t="s">
        <v>1559</v>
      </c>
      <c r="E43" t="s">
        <v>1560</v>
      </c>
      <c r="F43" t="s">
        <v>1677</v>
      </c>
      <c r="G43" t="s">
        <v>1666</v>
      </c>
      <c r="H43" t="s">
        <v>1561</v>
      </c>
      <c r="I43" t="s">
        <v>1498</v>
      </c>
      <c r="J43">
        <v>1</v>
      </c>
    </row>
    <row r="44" spans="1:10" x14ac:dyDescent="0.35">
      <c r="A44" t="s">
        <v>1678</v>
      </c>
      <c r="B44" t="s">
        <v>1433</v>
      </c>
      <c r="C44" t="s">
        <v>1558</v>
      </c>
      <c r="D44" t="s">
        <v>1679</v>
      </c>
      <c r="E44" t="s">
        <v>1680</v>
      </c>
      <c r="F44" t="s">
        <v>1681</v>
      </c>
      <c r="G44" t="s">
        <v>1666</v>
      </c>
      <c r="H44" t="s">
        <v>1561</v>
      </c>
      <c r="I44" t="s">
        <v>1498</v>
      </c>
      <c r="J44">
        <v>1</v>
      </c>
    </row>
    <row r="45" spans="1:10" x14ac:dyDescent="0.35">
      <c r="A45" t="s">
        <v>1682</v>
      </c>
      <c r="B45" t="s">
        <v>1433</v>
      </c>
      <c r="C45" t="s">
        <v>1683</v>
      </c>
      <c r="D45" t="s">
        <v>1684</v>
      </c>
      <c r="E45" t="s">
        <v>1685</v>
      </c>
      <c r="F45" t="s">
        <v>1686</v>
      </c>
      <c r="G45" t="s">
        <v>1666</v>
      </c>
      <c r="H45" t="s">
        <v>1687</v>
      </c>
      <c r="I45" t="s">
        <v>1439</v>
      </c>
      <c r="J45">
        <v>1</v>
      </c>
    </row>
    <row r="46" spans="1:10" x14ac:dyDescent="0.35">
      <c r="A46" t="s">
        <v>1688</v>
      </c>
      <c r="B46" t="s">
        <v>1433</v>
      </c>
      <c r="C46" t="s">
        <v>1567</v>
      </c>
      <c r="D46" t="s">
        <v>1689</v>
      </c>
      <c r="E46" t="s">
        <v>1690</v>
      </c>
      <c r="F46" t="s">
        <v>1691</v>
      </c>
      <c r="G46" t="s">
        <v>1570</v>
      </c>
      <c r="H46" t="s">
        <v>1571</v>
      </c>
      <c r="I46" t="s">
        <v>1439</v>
      </c>
      <c r="J46">
        <v>1</v>
      </c>
    </row>
    <row r="47" spans="1:10" x14ac:dyDescent="0.35">
      <c r="A47" t="s">
        <v>1474</v>
      </c>
      <c r="B47" t="s">
        <v>1475</v>
      </c>
      <c r="C47" t="s">
        <v>1476</v>
      </c>
      <c r="D47" t="s">
        <v>1477</v>
      </c>
      <c r="E47" t="s">
        <v>1478</v>
      </c>
      <c r="F47" t="s">
        <v>1692</v>
      </c>
      <c r="G47" t="s">
        <v>1438</v>
      </c>
      <c r="H47" t="s">
        <v>1479</v>
      </c>
      <c r="I47" t="s">
        <v>1439</v>
      </c>
      <c r="J47">
        <v>1</v>
      </c>
    </row>
    <row r="48" spans="1:10" x14ac:dyDescent="0.35">
      <c r="A48" t="s">
        <v>1693</v>
      </c>
      <c r="B48" t="s">
        <v>1475</v>
      </c>
      <c r="C48" t="s">
        <v>1476</v>
      </c>
      <c r="D48" t="s">
        <v>1477</v>
      </c>
      <c r="E48" t="s">
        <v>1478</v>
      </c>
      <c r="F48" t="s">
        <v>1692</v>
      </c>
      <c r="G48" t="s">
        <v>1438</v>
      </c>
      <c r="H48" t="s">
        <v>1479</v>
      </c>
      <c r="I48" t="s">
        <v>1439</v>
      </c>
      <c r="J48">
        <v>1</v>
      </c>
    </row>
    <row r="49" spans="1:10" x14ac:dyDescent="0.35">
      <c r="A49" t="s">
        <v>1694</v>
      </c>
      <c r="B49" t="s">
        <v>1475</v>
      </c>
      <c r="C49" t="s">
        <v>1476</v>
      </c>
      <c r="D49" t="s">
        <v>1477</v>
      </c>
      <c r="E49" t="s">
        <v>1478</v>
      </c>
      <c r="F49" t="s">
        <v>1692</v>
      </c>
      <c r="G49" t="s">
        <v>1438</v>
      </c>
      <c r="H49" t="s">
        <v>1479</v>
      </c>
      <c r="I49" t="s">
        <v>1439</v>
      </c>
      <c r="J49">
        <v>1</v>
      </c>
    </row>
    <row r="50" spans="1:10" x14ac:dyDescent="0.35">
      <c r="A50" t="s">
        <v>1488</v>
      </c>
      <c r="B50" t="s">
        <v>1475</v>
      </c>
      <c r="C50" t="s">
        <v>1489</v>
      </c>
      <c r="D50" t="s">
        <v>1695</v>
      </c>
      <c r="E50" t="s">
        <v>1490</v>
      </c>
      <c r="F50" t="s">
        <v>1696</v>
      </c>
      <c r="G50" t="s">
        <v>1438</v>
      </c>
      <c r="H50" t="s">
        <v>1491</v>
      </c>
      <c r="I50" t="s">
        <v>1439</v>
      </c>
      <c r="J50">
        <v>2</v>
      </c>
    </row>
    <row r="51" spans="1:10" x14ac:dyDescent="0.35">
      <c r="A51" t="s">
        <v>1697</v>
      </c>
      <c r="B51" t="s">
        <v>1475</v>
      </c>
      <c r="C51" t="s">
        <v>1489</v>
      </c>
      <c r="D51" t="s">
        <v>1695</v>
      </c>
      <c r="E51" t="s">
        <v>1490</v>
      </c>
      <c r="F51" t="s">
        <v>1696</v>
      </c>
      <c r="G51" t="s">
        <v>1438</v>
      </c>
      <c r="H51" t="s">
        <v>1491</v>
      </c>
      <c r="I51" t="s">
        <v>1439</v>
      </c>
      <c r="J51">
        <v>1</v>
      </c>
    </row>
    <row r="52" spans="1:10" x14ac:dyDescent="0.35">
      <c r="A52" t="s">
        <v>1698</v>
      </c>
      <c r="B52" t="s">
        <v>1475</v>
      </c>
      <c r="C52" t="s">
        <v>1489</v>
      </c>
      <c r="D52" t="s">
        <v>1695</v>
      </c>
      <c r="E52" t="s">
        <v>1490</v>
      </c>
      <c r="F52" t="s">
        <v>1696</v>
      </c>
      <c r="G52" t="s">
        <v>1438</v>
      </c>
      <c r="H52" t="s">
        <v>1491</v>
      </c>
      <c r="I52" t="s">
        <v>1439</v>
      </c>
      <c r="J52">
        <v>1</v>
      </c>
    </row>
    <row r="53" spans="1:10" x14ac:dyDescent="0.35">
      <c r="A53" t="s">
        <v>1699</v>
      </c>
      <c r="B53" t="s">
        <v>1475</v>
      </c>
      <c r="C53" t="s">
        <v>1700</v>
      </c>
      <c r="D53" t="s">
        <v>1701</v>
      </c>
      <c r="E53" t="s">
        <v>1702</v>
      </c>
      <c r="F53" t="s">
        <v>1703</v>
      </c>
      <c r="G53" t="s">
        <v>1438</v>
      </c>
      <c r="H53" t="s">
        <v>1590</v>
      </c>
      <c r="I53" t="s">
        <v>1439</v>
      </c>
      <c r="J53">
        <v>1</v>
      </c>
    </row>
    <row r="54" spans="1:10" x14ac:dyDescent="0.35">
      <c r="A54" t="s">
        <v>1566</v>
      </c>
      <c r="B54" t="s">
        <v>1458</v>
      </c>
      <c r="C54" t="s">
        <v>1567</v>
      </c>
      <c r="D54" t="s">
        <v>1568</v>
      </c>
      <c r="E54" t="s">
        <v>1569</v>
      </c>
      <c r="F54" t="s">
        <v>1704</v>
      </c>
      <c r="G54" t="s">
        <v>1570</v>
      </c>
      <c r="H54" t="s">
        <v>1571</v>
      </c>
      <c r="I54" t="s">
        <v>1439</v>
      </c>
      <c r="J54">
        <v>2</v>
      </c>
    </row>
    <row r="55" spans="1:10" x14ac:dyDescent="0.35">
      <c r="A55" t="s">
        <v>1705</v>
      </c>
      <c r="B55" t="s">
        <v>1458</v>
      </c>
      <c r="C55" t="s">
        <v>1567</v>
      </c>
      <c r="D55" t="s">
        <v>1706</v>
      </c>
      <c r="E55" t="s">
        <v>1707</v>
      </c>
      <c r="F55" t="s">
        <v>1708</v>
      </c>
      <c r="G55" t="s">
        <v>1570</v>
      </c>
      <c r="H55" t="s">
        <v>1571</v>
      </c>
      <c r="I55" t="s">
        <v>1439</v>
      </c>
      <c r="J55">
        <v>1</v>
      </c>
    </row>
    <row r="56" spans="1:10" x14ac:dyDescent="0.35">
      <c r="A56" t="s">
        <v>1572</v>
      </c>
      <c r="B56" t="s">
        <v>1458</v>
      </c>
      <c r="C56" t="s">
        <v>1573</v>
      </c>
      <c r="D56" t="s">
        <v>1574</v>
      </c>
      <c r="E56" t="s">
        <v>1575</v>
      </c>
      <c r="F56" t="s">
        <v>1709</v>
      </c>
      <c r="G56" t="s">
        <v>1438</v>
      </c>
      <c r="H56" t="s">
        <v>1462</v>
      </c>
      <c r="I56" t="s">
        <v>1439</v>
      </c>
      <c r="J56">
        <v>1</v>
      </c>
    </row>
    <row r="57" spans="1:10" x14ac:dyDescent="0.35">
      <c r="A57" t="s">
        <v>1457</v>
      </c>
      <c r="B57" t="s">
        <v>1458</v>
      </c>
      <c r="C57" t="s">
        <v>1453</v>
      </c>
      <c r="D57" t="s">
        <v>1454</v>
      </c>
      <c r="E57" t="s">
        <v>1455</v>
      </c>
      <c r="F57" t="s">
        <v>1630</v>
      </c>
      <c r="G57" t="s">
        <v>1438</v>
      </c>
      <c r="H57" t="s">
        <v>1580</v>
      </c>
      <c r="I57" t="s">
        <v>1439</v>
      </c>
      <c r="J57">
        <v>1</v>
      </c>
    </row>
    <row r="58" spans="1:10" x14ac:dyDescent="0.35">
      <c r="A58" t="s">
        <v>1576</v>
      </c>
      <c r="B58" t="s">
        <v>1458</v>
      </c>
      <c r="C58" t="s">
        <v>1577</v>
      </c>
      <c r="D58" t="s">
        <v>1578</v>
      </c>
      <c r="E58" t="s">
        <v>1579</v>
      </c>
      <c r="F58" t="s">
        <v>1710</v>
      </c>
      <c r="G58" t="s">
        <v>1438</v>
      </c>
      <c r="H58" t="s">
        <v>1580</v>
      </c>
      <c r="I58" t="s">
        <v>1439</v>
      </c>
      <c r="J58">
        <v>1</v>
      </c>
    </row>
    <row r="59" spans="1:10" x14ac:dyDescent="0.35">
      <c r="A59" t="s">
        <v>1581</v>
      </c>
      <c r="B59" t="s">
        <v>1458</v>
      </c>
      <c r="C59" t="s">
        <v>1577</v>
      </c>
      <c r="D59" t="s">
        <v>1578</v>
      </c>
      <c r="E59" t="s">
        <v>1579</v>
      </c>
      <c r="F59" t="s">
        <v>1710</v>
      </c>
      <c r="G59" t="s">
        <v>1438</v>
      </c>
      <c r="H59" t="s">
        <v>1580</v>
      </c>
      <c r="I59" t="s">
        <v>1439</v>
      </c>
      <c r="J59">
        <v>1</v>
      </c>
    </row>
    <row r="60" spans="1:10" x14ac:dyDescent="0.35">
      <c r="A60" t="s">
        <v>1711</v>
      </c>
      <c r="B60" t="s">
        <v>1458</v>
      </c>
      <c r="C60" t="s">
        <v>1453</v>
      </c>
      <c r="D60" t="s">
        <v>1454</v>
      </c>
      <c r="E60" t="s">
        <v>1455</v>
      </c>
      <c r="F60" t="s">
        <v>1630</v>
      </c>
      <c r="G60" t="s">
        <v>1438</v>
      </c>
      <c r="H60" t="s">
        <v>1580</v>
      </c>
      <c r="I60" t="s">
        <v>1439</v>
      </c>
      <c r="J60">
        <v>1</v>
      </c>
    </row>
    <row r="61" spans="1:10" x14ac:dyDescent="0.35">
      <c r="A61" t="s">
        <v>1712</v>
      </c>
      <c r="B61" t="s">
        <v>1458</v>
      </c>
      <c r="C61" t="s">
        <v>1434</v>
      </c>
      <c r="D61" t="s">
        <v>1713</v>
      </c>
      <c r="E61" t="s">
        <v>1714</v>
      </c>
      <c r="F61" t="s">
        <v>1715</v>
      </c>
      <c r="G61" t="s">
        <v>1438</v>
      </c>
      <c r="H61" t="s">
        <v>1607</v>
      </c>
      <c r="I61" t="s">
        <v>1439</v>
      </c>
      <c r="J61">
        <v>1</v>
      </c>
    </row>
    <row r="62" spans="1:10" x14ac:dyDescent="0.35">
      <c r="A62" t="s">
        <v>1716</v>
      </c>
      <c r="B62" t="s">
        <v>1458</v>
      </c>
      <c r="C62" t="s">
        <v>1434</v>
      </c>
      <c r="D62" t="s">
        <v>1717</v>
      </c>
      <c r="E62" t="s">
        <v>1718</v>
      </c>
      <c r="F62" t="s">
        <v>1719</v>
      </c>
      <c r="G62" t="s">
        <v>1438</v>
      </c>
      <c r="H62" t="s">
        <v>1607</v>
      </c>
      <c r="I62" t="s">
        <v>1439</v>
      </c>
      <c r="J62">
        <v>1</v>
      </c>
    </row>
    <row r="63" spans="1:10" x14ac:dyDescent="0.35">
      <c r="A63" t="s">
        <v>1720</v>
      </c>
      <c r="B63" t="s">
        <v>1458</v>
      </c>
      <c r="C63" t="s">
        <v>1481</v>
      </c>
      <c r="D63" t="s">
        <v>1482</v>
      </c>
      <c r="E63" t="s">
        <v>1483</v>
      </c>
      <c r="F63" t="s">
        <v>1643</v>
      </c>
      <c r="G63" t="s">
        <v>1438</v>
      </c>
      <c r="H63" t="s">
        <v>1590</v>
      </c>
      <c r="I63" t="s">
        <v>1439</v>
      </c>
      <c r="J63">
        <v>1</v>
      </c>
    </row>
    <row r="64" spans="1:10" x14ac:dyDescent="0.35">
      <c r="A64" t="s">
        <v>1721</v>
      </c>
      <c r="B64" t="s">
        <v>1458</v>
      </c>
      <c r="C64" t="s">
        <v>1722</v>
      </c>
      <c r="D64" t="s">
        <v>1723</v>
      </c>
      <c r="E64" t="s">
        <v>1724</v>
      </c>
      <c r="F64" t="s">
        <v>1725</v>
      </c>
      <c r="G64" t="s">
        <v>1666</v>
      </c>
      <c r="H64" t="s">
        <v>1726</v>
      </c>
      <c r="I64" t="s">
        <v>1439</v>
      </c>
      <c r="J64">
        <v>1</v>
      </c>
    </row>
    <row r="65" spans="1:10" x14ac:dyDescent="0.35">
      <c r="A65" t="s">
        <v>1727</v>
      </c>
      <c r="B65" t="s">
        <v>1458</v>
      </c>
      <c r="C65" t="s">
        <v>1683</v>
      </c>
      <c r="D65" t="s">
        <v>1728</v>
      </c>
      <c r="E65" t="s">
        <v>1729</v>
      </c>
      <c r="F65" t="s">
        <v>1730</v>
      </c>
      <c r="G65" t="s">
        <v>1666</v>
      </c>
      <c r="H65" t="s">
        <v>1687</v>
      </c>
      <c r="I65" t="s">
        <v>1439</v>
      </c>
      <c r="J65">
        <v>1</v>
      </c>
    </row>
    <row r="66" spans="1:10" x14ac:dyDescent="0.35">
      <c r="A66" t="s">
        <v>1731</v>
      </c>
      <c r="B66" t="s">
        <v>1458</v>
      </c>
      <c r="C66" t="s">
        <v>1489</v>
      </c>
      <c r="D66" t="s">
        <v>1695</v>
      </c>
      <c r="E66" t="s">
        <v>1490</v>
      </c>
      <c r="F66" t="s">
        <v>1696</v>
      </c>
      <c r="G66" t="s">
        <v>1438</v>
      </c>
      <c r="H66" t="s">
        <v>1491</v>
      </c>
      <c r="I66" t="s">
        <v>1439</v>
      </c>
      <c r="J66">
        <v>1</v>
      </c>
    </row>
    <row r="67" spans="1:10" x14ac:dyDescent="0.35">
      <c r="A67" t="s">
        <v>1732</v>
      </c>
      <c r="B67" t="s">
        <v>1458</v>
      </c>
      <c r="C67" t="s">
        <v>1460</v>
      </c>
      <c r="D67" t="s">
        <v>1464</v>
      </c>
      <c r="E67" t="s">
        <v>1465</v>
      </c>
      <c r="F67" t="s">
        <v>1635</v>
      </c>
      <c r="G67" t="s">
        <v>1438</v>
      </c>
      <c r="H67" t="s">
        <v>1462</v>
      </c>
      <c r="I67" t="s">
        <v>1439</v>
      </c>
      <c r="J67">
        <v>1</v>
      </c>
    </row>
    <row r="68" spans="1:10" x14ac:dyDescent="0.35">
      <c r="A68" t="s">
        <v>1492</v>
      </c>
      <c r="B68" t="s">
        <v>1493</v>
      </c>
      <c r="C68" t="s">
        <v>1494</v>
      </c>
      <c r="D68" t="s">
        <v>1495</v>
      </c>
      <c r="E68" t="s">
        <v>1496</v>
      </c>
      <c r="F68" t="s">
        <v>1733</v>
      </c>
      <c r="G68" t="s">
        <v>1734</v>
      </c>
      <c r="H68" t="s">
        <v>1497</v>
      </c>
      <c r="I68" t="s">
        <v>1498</v>
      </c>
      <c r="J68">
        <v>6</v>
      </c>
    </row>
    <row r="69" spans="1:10" x14ac:dyDescent="0.35">
      <c r="A69" t="s">
        <v>1735</v>
      </c>
      <c r="B69" t="s">
        <v>1493</v>
      </c>
      <c r="C69" t="s">
        <v>1494</v>
      </c>
      <c r="D69" t="s">
        <v>1495</v>
      </c>
      <c r="E69" t="s">
        <v>1496</v>
      </c>
      <c r="F69" t="s">
        <v>1733</v>
      </c>
      <c r="G69" t="s">
        <v>1734</v>
      </c>
      <c r="H69" t="s">
        <v>1497</v>
      </c>
      <c r="I69" t="s">
        <v>1498</v>
      </c>
      <c r="J69">
        <v>1</v>
      </c>
    </row>
    <row r="70" spans="1:10" x14ac:dyDescent="0.35">
      <c r="A70" t="s">
        <v>1736</v>
      </c>
      <c r="B70" t="s">
        <v>1493</v>
      </c>
      <c r="C70" t="s">
        <v>1494</v>
      </c>
      <c r="D70" t="s">
        <v>1495</v>
      </c>
      <c r="E70" t="s">
        <v>1496</v>
      </c>
      <c r="F70" t="s">
        <v>1733</v>
      </c>
      <c r="G70" t="s">
        <v>1734</v>
      </c>
      <c r="H70" t="s">
        <v>1497</v>
      </c>
      <c r="I70" t="s">
        <v>1498</v>
      </c>
      <c r="J70">
        <v>1</v>
      </c>
    </row>
    <row r="71" spans="1:10" x14ac:dyDescent="0.35">
      <c r="A71" t="s">
        <v>1737</v>
      </c>
      <c r="B71" t="s">
        <v>1493</v>
      </c>
      <c r="C71" t="s">
        <v>1494</v>
      </c>
      <c r="D71" t="s">
        <v>1495</v>
      </c>
      <c r="E71" t="s">
        <v>1496</v>
      </c>
      <c r="F71" t="s">
        <v>1733</v>
      </c>
      <c r="G71" t="s">
        <v>1734</v>
      </c>
      <c r="H71" t="s">
        <v>1497</v>
      </c>
      <c r="I71" t="s">
        <v>1498</v>
      </c>
      <c r="J71">
        <v>1</v>
      </c>
    </row>
    <row r="72" spans="1:10" x14ac:dyDescent="0.35">
      <c r="A72" t="s">
        <v>1499</v>
      </c>
      <c r="B72" t="s">
        <v>1493</v>
      </c>
      <c r="C72" t="s">
        <v>1500</v>
      </c>
      <c r="D72" t="s">
        <v>1501</v>
      </c>
      <c r="E72" t="s">
        <v>1502</v>
      </c>
      <c r="F72" t="s">
        <v>1738</v>
      </c>
      <c r="G72" t="s">
        <v>1734</v>
      </c>
      <c r="H72" t="s">
        <v>1503</v>
      </c>
      <c r="I72" t="s">
        <v>1498</v>
      </c>
      <c r="J72">
        <v>3</v>
      </c>
    </row>
    <row r="73" spans="1:10" x14ac:dyDescent="0.35">
      <c r="A73" t="s">
        <v>1739</v>
      </c>
      <c r="B73" t="s">
        <v>1493</v>
      </c>
      <c r="C73" t="s">
        <v>1500</v>
      </c>
      <c r="D73" t="s">
        <v>1501</v>
      </c>
      <c r="E73" t="s">
        <v>1502</v>
      </c>
      <c r="F73" t="s">
        <v>1738</v>
      </c>
      <c r="G73" t="s">
        <v>1734</v>
      </c>
      <c r="H73" t="s">
        <v>1503</v>
      </c>
      <c r="I73" t="s">
        <v>1498</v>
      </c>
      <c r="J73">
        <v>2</v>
      </c>
    </row>
    <row r="74" spans="1:10" x14ac:dyDescent="0.35">
      <c r="A74" t="s">
        <v>1740</v>
      </c>
      <c r="B74" t="s">
        <v>1493</v>
      </c>
      <c r="C74" t="s">
        <v>1500</v>
      </c>
      <c r="D74" t="s">
        <v>1501</v>
      </c>
      <c r="E74" t="s">
        <v>1502</v>
      </c>
      <c r="F74" t="s">
        <v>1738</v>
      </c>
      <c r="G74" t="s">
        <v>1734</v>
      </c>
      <c r="H74" t="s">
        <v>1503</v>
      </c>
      <c r="I74" t="s">
        <v>1498</v>
      </c>
      <c r="J74">
        <v>1</v>
      </c>
    </row>
    <row r="75" spans="1:10" x14ac:dyDescent="0.35">
      <c r="A75" t="s">
        <v>1741</v>
      </c>
      <c r="B75" t="s">
        <v>1493</v>
      </c>
      <c r="C75" t="s">
        <v>1500</v>
      </c>
      <c r="D75" t="s">
        <v>1501</v>
      </c>
      <c r="E75" t="s">
        <v>1502</v>
      </c>
      <c r="F75" t="s">
        <v>1738</v>
      </c>
      <c r="G75" t="s">
        <v>1734</v>
      </c>
      <c r="H75" t="s">
        <v>1503</v>
      </c>
      <c r="I75" t="s">
        <v>1498</v>
      </c>
      <c r="J75">
        <v>2</v>
      </c>
    </row>
    <row r="76" spans="1:10" x14ac:dyDescent="0.35">
      <c r="A76" t="s">
        <v>1742</v>
      </c>
      <c r="B76" t="s">
        <v>1493</v>
      </c>
      <c r="C76" t="s">
        <v>1500</v>
      </c>
      <c r="D76" t="s">
        <v>1743</v>
      </c>
      <c r="E76" t="s">
        <v>1744</v>
      </c>
      <c r="F76" t="s">
        <v>1745</v>
      </c>
      <c r="G76" t="s">
        <v>1734</v>
      </c>
      <c r="H76" t="s">
        <v>1503</v>
      </c>
      <c r="I76" t="s">
        <v>1498</v>
      </c>
      <c r="J76">
        <v>1</v>
      </c>
    </row>
    <row r="77" spans="1:10" x14ac:dyDescent="0.35">
      <c r="A77" t="s">
        <v>1746</v>
      </c>
      <c r="B77" t="s">
        <v>1493</v>
      </c>
      <c r="C77" t="s">
        <v>1500</v>
      </c>
      <c r="D77" t="s">
        <v>1501</v>
      </c>
      <c r="E77" t="s">
        <v>1502</v>
      </c>
      <c r="F77" t="s">
        <v>1738</v>
      </c>
      <c r="G77" t="s">
        <v>1734</v>
      </c>
      <c r="H77" t="s">
        <v>1503</v>
      </c>
      <c r="I77" t="s">
        <v>1498</v>
      </c>
      <c r="J77">
        <v>1</v>
      </c>
    </row>
    <row r="78" spans="1:10" x14ac:dyDescent="0.35">
      <c r="A78" t="s">
        <v>1747</v>
      </c>
      <c r="B78" t="s">
        <v>1493</v>
      </c>
      <c r="C78" t="s">
        <v>1500</v>
      </c>
      <c r="D78" t="s">
        <v>1501</v>
      </c>
      <c r="E78" t="s">
        <v>1502</v>
      </c>
      <c r="F78" t="s">
        <v>1738</v>
      </c>
      <c r="G78" t="s">
        <v>1734</v>
      </c>
      <c r="H78" t="s">
        <v>1503</v>
      </c>
      <c r="I78" t="s">
        <v>1498</v>
      </c>
      <c r="J78">
        <v>1</v>
      </c>
    </row>
    <row r="79" spans="1:10" x14ac:dyDescent="0.35">
      <c r="A79" t="s">
        <v>1504</v>
      </c>
      <c r="B79" t="s">
        <v>1493</v>
      </c>
      <c r="C79" t="s">
        <v>1748</v>
      </c>
      <c r="D79" t="s">
        <v>1505</v>
      </c>
      <c r="E79" t="s">
        <v>1506</v>
      </c>
      <c r="F79" t="s">
        <v>1749</v>
      </c>
      <c r="G79" t="s">
        <v>1734</v>
      </c>
      <c r="H79" t="s">
        <v>1507</v>
      </c>
      <c r="I79" t="s">
        <v>1498</v>
      </c>
      <c r="J79">
        <v>2</v>
      </c>
    </row>
    <row r="80" spans="1:10" x14ac:dyDescent="0.35">
      <c r="A80" t="s">
        <v>1750</v>
      </c>
      <c r="B80" t="s">
        <v>1493</v>
      </c>
      <c r="C80" t="s">
        <v>1748</v>
      </c>
      <c r="D80" t="s">
        <v>1505</v>
      </c>
      <c r="E80" t="s">
        <v>1506</v>
      </c>
      <c r="F80" t="s">
        <v>1749</v>
      </c>
      <c r="G80" t="s">
        <v>1734</v>
      </c>
      <c r="H80" t="s">
        <v>1507</v>
      </c>
      <c r="I80" t="s">
        <v>1498</v>
      </c>
      <c r="J80">
        <v>2</v>
      </c>
    </row>
    <row r="81" spans="1:10" x14ac:dyDescent="0.35">
      <c r="A81" t="s">
        <v>1751</v>
      </c>
      <c r="B81" t="s">
        <v>1493</v>
      </c>
      <c r="C81" t="s">
        <v>1752</v>
      </c>
      <c r="D81" t="s">
        <v>1753</v>
      </c>
      <c r="E81" t="s">
        <v>1754</v>
      </c>
      <c r="F81" t="s">
        <v>1755</v>
      </c>
      <c r="G81" t="s">
        <v>1734</v>
      </c>
      <c r="H81" t="s">
        <v>1756</v>
      </c>
      <c r="I81" t="s">
        <v>1498</v>
      </c>
      <c r="J81">
        <v>1</v>
      </c>
    </row>
    <row r="82" spans="1:10" x14ac:dyDescent="0.35">
      <c r="A82" t="s">
        <v>1757</v>
      </c>
      <c r="B82" t="s">
        <v>1493</v>
      </c>
      <c r="C82" t="s">
        <v>1752</v>
      </c>
      <c r="D82" t="s">
        <v>1753</v>
      </c>
      <c r="E82" t="s">
        <v>1754</v>
      </c>
      <c r="F82" t="s">
        <v>1755</v>
      </c>
      <c r="G82" t="s">
        <v>1734</v>
      </c>
      <c r="H82" t="s">
        <v>1756</v>
      </c>
      <c r="I82" t="s">
        <v>1498</v>
      </c>
      <c r="J82">
        <v>1</v>
      </c>
    </row>
    <row r="83" spans="1:10" x14ac:dyDescent="0.35">
      <c r="A83" t="s">
        <v>1508</v>
      </c>
      <c r="B83" t="s">
        <v>1493</v>
      </c>
      <c r="C83" t="s">
        <v>1509</v>
      </c>
      <c r="D83" t="s">
        <v>1510</v>
      </c>
      <c r="E83" t="s">
        <v>1511</v>
      </c>
      <c r="F83" t="s">
        <v>1758</v>
      </c>
      <c r="G83" t="s">
        <v>1734</v>
      </c>
      <c r="H83" t="s">
        <v>1512</v>
      </c>
      <c r="I83" t="s">
        <v>1498</v>
      </c>
      <c r="J83">
        <v>1</v>
      </c>
    </row>
    <row r="84" spans="1:10" x14ac:dyDescent="0.35">
      <c r="A84" t="s">
        <v>1759</v>
      </c>
      <c r="B84" t="s">
        <v>1493</v>
      </c>
      <c r="C84" t="s">
        <v>1509</v>
      </c>
      <c r="D84" t="s">
        <v>1510</v>
      </c>
      <c r="E84" t="s">
        <v>1511</v>
      </c>
      <c r="F84" t="s">
        <v>1758</v>
      </c>
      <c r="G84" t="s">
        <v>1734</v>
      </c>
      <c r="H84" t="s">
        <v>1512</v>
      </c>
      <c r="I84" t="s">
        <v>1498</v>
      </c>
      <c r="J84">
        <v>1</v>
      </c>
    </row>
    <row r="85" spans="1:10" x14ac:dyDescent="0.35">
      <c r="A85" t="s">
        <v>1760</v>
      </c>
      <c r="B85" t="s">
        <v>1493</v>
      </c>
      <c r="C85" t="s">
        <v>1509</v>
      </c>
      <c r="D85" t="s">
        <v>1510</v>
      </c>
      <c r="E85" t="s">
        <v>1511</v>
      </c>
      <c r="F85" t="s">
        <v>1758</v>
      </c>
      <c r="G85" t="s">
        <v>1734</v>
      </c>
      <c r="H85" t="s">
        <v>1512</v>
      </c>
      <c r="I85" t="s">
        <v>1498</v>
      </c>
      <c r="J85">
        <v>1</v>
      </c>
    </row>
    <row r="86" spans="1:10" x14ac:dyDescent="0.35">
      <c r="A86" t="s">
        <v>1761</v>
      </c>
      <c r="B86" t="s">
        <v>1493</v>
      </c>
      <c r="C86" t="s">
        <v>1509</v>
      </c>
      <c r="D86" t="s">
        <v>1762</v>
      </c>
      <c r="E86" t="s">
        <v>1763</v>
      </c>
      <c r="F86" t="s">
        <v>1764</v>
      </c>
      <c r="G86" t="s">
        <v>1734</v>
      </c>
      <c r="H86" t="s">
        <v>1512</v>
      </c>
      <c r="I86" t="s">
        <v>1498</v>
      </c>
      <c r="J86">
        <v>1</v>
      </c>
    </row>
    <row r="87" spans="1:10" x14ac:dyDescent="0.35">
      <c r="A87" t="s">
        <v>1765</v>
      </c>
      <c r="B87" t="s">
        <v>1493</v>
      </c>
      <c r="C87" t="s">
        <v>1509</v>
      </c>
      <c r="D87" t="s">
        <v>1762</v>
      </c>
      <c r="E87" t="s">
        <v>1763</v>
      </c>
      <c r="F87" t="s">
        <v>1764</v>
      </c>
      <c r="G87" t="s">
        <v>1734</v>
      </c>
      <c r="H87" t="s">
        <v>1512</v>
      </c>
      <c r="I87" t="s">
        <v>1498</v>
      </c>
      <c r="J87">
        <v>1</v>
      </c>
    </row>
    <row r="88" spans="1:10" x14ac:dyDescent="0.35">
      <c r="A88" t="s">
        <v>1513</v>
      </c>
      <c r="B88" t="s">
        <v>1493</v>
      </c>
      <c r="C88" t="s">
        <v>1514</v>
      </c>
      <c r="D88" t="s">
        <v>1515</v>
      </c>
      <c r="E88" t="s">
        <v>1516</v>
      </c>
      <c r="F88" t="s">
        <v>1766</v>
      </c>
      <c r="G88" t="s">
        <v>1734</v>
      </c>
      <c r="H88" t="s">
        <v>1517</v>
      </c>
      <c r="I88" t="s">
        <v>1498</v>
      </c>
      <c r="J88">
        <v>2</v>
      </c>
    </row>
    <row r="89" spans="1:10" x14ac:dyDescent="0.35">
      <c r="A89" t="s">
        <v>1767</v>
      </c>
      <c r="B89" t="s">
        <v>1493</v>
      </c>
      <c r="C89" t="s">
        <v>1514</v>
      </c>
      <c r="D89" t="s">
        <v>1515</v>
      </c>
      <c r="E89" t="s">
        <v>1516</v>
      </c>
      <c r="F89" t="s">
        <v>1766</v>
      </c>
      <c r="G89" t="s">
        <v>1734</v>
      </c>
      <c r="H89" t="s">
        <v>1517</v>
      </c>
      <c r="I89" t="s">
        <v>1498</v>
      </c>
      <c r="J89">
        <v>2</v>
      </c>
    </row>
    <row r="90" spans="1:10" x14ac:dyDescent="0.35">
      <c r="A90" t="s">
        <v>1768</v>
      </c>
      <c r="B90" t="s">
        <v>1493</v>
      </c>
      <c r="C90" t="s">
        <v>1514</v>
      </c>
      <c r="D90" t="s">
        <v>1515</v>
      </c>
      <c r="E90" t="s">
        <v>1516</v>
      </c>
      <c r="F90" t="s">
        <v>1766</v>
      </c>
      <c r="G90" t="s">
        <v>1734</v>
      </c>
      <c r="H90" t="s">
        <v>1517</v>
      </c>
      <c r="I90" t="s">
        <v>1498</v>
      </c>
      <c r="J90">
        <v>2</v>
      </c>
    </row>
    <row r="91" spans="1:10" x14ac:dyDescent="0.35">
      <c r="A91" t="s">
        <v>1769</v>
      </c>
      <c r="B91" t="s">
        <v>1493</v>
      </c>
      <c r="C91" t="s">
        <v>1514</v>
      </c>
      <c r="D91" t="s">
        <v>1515</v>
      </c>
      <c r="E91" t="s">
        <v>1516</v>
      </c>
      <c r="F91" t="s">
        <v>1766</v>
      </c>
      <c r="G91" t="s">
        <v>1734</v>
      </c>
      <c r="H91" t="s">
        <v>1517</v>
      </c>
      <c r="I91" t="s">
        <v>1498</v>
      </c>
      <c r="J91">
        <v>1</v>
      </c>
    </row>
    <row r="92" spans="1:10" x14ac:dyDescent="0.35">
      <c r="A92" t="s">
        <v>1770</v>
      </c>
      <c r="B92" t="s">
        <v>1493</v>
      </c>
      <c r="C92" t="s">
        <v>1514</v>
      </c>
      <c r="D92" t="s">
        <v>1515</v>
      </c>
      <c r="E92" t="s">
        <v>1516</v>
      </c>
      <c r="F92" t="s">
        <v>1766</v>
      </c>
      <c r="G92" t="s">
        <v>1734</v>
      </c>
      <c r="H92" t="s">
        <v>1517</v>
      </c>
      <c r="I92" t="s">
        <v>1498</v>
      </c>
      <c r="J92">
        <v>1</v>
      </c>
    </row>
    <row r="93" spans="1:10" x14ac:dyDescent="0.35">
      <c r="A93" t="s">
        <v>1771</v>
      </c>
      <c r="B93" t="s">
        <v>1493</v>
      </c>
      <c r="C93" t="s">
        <v>1514</v>
      </c>
      <c r="D93" t="s">
        <v>1515</v>
      </c>
      <c r="E93" t="s">
        <v>1516</v>
      </c>
      <c r="F93" t="s">
        <v>1766</v>
      </c>
      <c r="G93" t="s">
        <v>1734</v>
      </c>
      <c r="H93" t="s">
        <v>1517</v>
      </c>
      <c r="I93" t="s">
        <v>1498</v>
      </c>
      <c r="J93">
        <v>2</v>
      </c>
    </row>
    <row r="94" spans="1:10" x14ac:dyDescent="0.35">
      <c r="A94" t="s">
        <v>1772</v>
      </c>
      <c r="B94" t="s">
        <v>1493</v>
      </c>
      <c r="C94" t="s">
        <v>1514</v>
      </c>
      <c r="D94" t="s">
        <v>1515</v>
      </c>
      <c r="E94" t="s">
        <v>1516</v>
      </c>
      <c r="F94" t="s">
        <v>1766</v>
      </c>
      <c r="G94" t="s">
        <v>1734</v>
      </c>
      <c r="H94" t="s">
        <v>1517</v>
      </c>
      <c r="I94" t="s">
        <v>1498</v>
      </c>
      <c r="J94">
        <v>1</v>
      </c>
    </row>
    <row r="95" spans="1:10" x14ac:dyDescent="0.35">
      <c r="A95" t="s">
        <v>1773</v>
      </c>
      <c r="B95" t="s">
        <v>1493</v>
      </c>
      <c r="C95" t="s">
        <v>1774</v>
      </c>
      <c r="D95" t="s">
        <v>1775</v>
      </c>
      <c r="E95" t="s">
        <v>1776</v>
      </c>
      <c r="F95" t="s">
        <v>1777</v>
      </c>
      <c r="G95" t="s">
        <v>1734</v>
      </c>
      <c r="H95" t="s">
        <v>1778</v>
      </c>
      <c r="I95" t="s">
        <v>1498</v>
      </c>
      <c r="J95">
        <v>1</v>
      </c>
    </row>
    <row r="96" spans="1:10" x14ac:dyDescent="0.35">
      <c r="A96" t="s">
        <v>1779</v>
      </c>
      <c r="B96" t="s">
        <v>1493</v>
      </c>
      <c r="C96" t="s">
        <v>1774</v>
      </c>
      <c r="D96" t="s">
        <v>1775</v>
      </c>
      <c r="E96" t="s">
        <v>1776</v>
      </c>
      <c r="F96" t="s">
        <v>1777</v>
      </c>
      <c r="G96" t="s">
        <v>1734</v>
      </c>
      <c r="H96" t="s">
        <v>1778</v>
      </c>
      <c r="I96" t="s">
        <v>1498</v>
      </c>
      <c r="J96">
        <v>1</v>
      </c>
    </row>
    <row r="97" spans="1:10" x14ac:dyDescent="0.35">
      <c r="A97" t="s">
        <v>1780</v>
      </c>
      <c r="B97" t="s">
        <v>1493</v>
      </c>
      <c r="C97" t="s">
        <v>1774</v>
      </c>
      <c r="D97" t="s">
        <v>1775</v>
      </c>
      <c r="E97" t="s">
        <v>1776</v>
      </c>
      <c r="F97" t="s">
        <v>1777</v>
      </c>
      <c r="G97" t="s">
        <v>1734</v>
      </c>
      <c r="H97" t="s">
        <v>1778</v>
      </c>
      <c r="I97" t="s">
        <v>1498</v>
      </c>
      <c r="J97">
        <v>1</v>
      </c>
    </row>
    <row r="98" spans="1:10" x14ac:dyDescent="0.35">
      <c r="A98" t="s">
        <v>1518</v>
      </c>
      <c r="B98" t="s">
        <v>1493</v>
      </c>
      <c r="C98" t="s">
        <v>1519</v>
      </c>
      <c r="D98" t="s">
        <v>1518</v>
      </c>
      <c r="E98" t="s">
        <v>1520</v>
      </c>
      <c r="F98" t="s">
        <v>1781</v>
      </c>
      <c r="G98" t="s">
        <v>1734</v>
      </c>
      <c r="H98" t="s">
        <v>1782</v>
      </c>
      <c r="I98" t="s">
        <v>1498</v>
      </c>
      <c r="J98">
        <v>2</v>
      </c>
    </row>
    <row r="99" spans="1:10" x14ac:dyDescent="0.35">
      <c r="A99" t="s">
        <v>1783</v>
      </c>
      <c r="B99" t="s">
        <v>1493</v>
      </c>
      <c r="C99" t="s">
        <v>1519</v>
      </c>
      <c r="D99" t="s">
        <v>1518</v>
      </c>
      <c r="E99" t="s">
        <v>1520</v>
      </c>
      <c r="F99" t="s">
        <v>1781</v>
      </c>
      <c r="G99" t="s">
        <v>1734</v>
      </c>
      <c r="H99" t="s">
        <v>1782</v>
      </c>
      <c r="I99" t="s">
        <v>1498</v>
      </c>
      <c r="J99">
        <v>1</v>
      </c>
    </row>
    <row r="100" spans="1:10" x14ac:dyDescent="0.35">
      <c r="A100" t="s">
        <v>1784</v>
      </c>
      <c r="B100" t="s">
        <v>1493</v>
      </c>
      <c r="C100" t="s">
        <v>1519</v>
      </c>
      <c r="D100" t="s">
        <v>1518</v>
      </c>
      <c r="E100" t="s">
        <v>1520</v>
      </c>
      <c r="F100" t="s">
        <v>1781</v>
      </c>
      <c r="G100" t="s">
        <v>1734</v>
      </c>
      <c r="H100" t="s">
        <v>1782</v>
      </c>
      <c r="I100" t="s">
        <v>1498</v>
      </c>
      <c r="J100">
        <v>1</v>
      </c>
    </row>
    <row r="101" spans="1:10" x14ac:dyDescent="0.35">
      <c r="A101" t="s">
        <v>1785</v>
      </c>
      <c r="B101" t="s">
        <v>1493</v>
      </c>
      <c r="C101" t="s">
        <v>1519</v>
      </c>
      <c r="D101" t="s">
        <v>1518</v>
      </c>
      <c r="E101" t="s">
        <v>1520</v>
      </c>
      <c r="F101" t="s">
        <v>1781</v>
      </c>
      <c r="G101" t="s">
        <v>1734</v>
      </c>
      <c r="H101" t="s">
        <v>1782</v>
      </c>
      <c r="I101" t="s">
        <v>1498</v>
      </c>
      <c r="J101">
        <v>1</v>
      </c>
    </row>
    <row r="102" spans="1:10" x14ac:dyDescent="0.35">
      <c r="A102" t="s">
        <v>1786</v>
      </c>
      <c r="B102" t="s">
        <v>1493</v>
      </c>
      <c r="C102" t="s">
        <v>1519</v>
      </c>
      <c r="D102" t="s">
        <v>1787</v>
      </c>
      <c r="E102" t="s">
        <v>1788</v>
      </c>
      <c r="F102" t="s">
        <v>1789</v>
      </c>
      <c r="G102" t="s">
        <v>1734</v>
      </c>
      <c r="H102" t="s">
        <v>1782</v>
      </c>
      <c r="I102" t="s">
        <v>1498</v>
      </c>
      <c r="J102">
        <v>1</v>
      </c>
    </row>
    <row r="103" spans="1:10" x14ac:dyDescent="0.35">
      <c r="A103" t="s">
        <v>1536</v>
      </c>
      <c r="B103" t="s">
        <v>1493</v>
      </c>
      <c r="C103" t="s">
        <v>1790</v>
      </c>
      <c r="D103" t="s">
        <v>1537</v>
      </c>
      <c r="E103" t="s">
        <v>1538</v>
      </c>
      <c r="F103" t="s">
        <v>1791</v>
      </c>
      <c r="G103" t="s">
        <v>1734</v>
      </c>
      <c r="H103" t="s">
        <v>1792</v>
      </c>
      <c r="I103" t="s">
        <v>1498</v>
      </c>
      <c r="J103">
        <v>1</v>
      </c>
    </row>
    <row r="104" spans="1:10" x14ac:dyDescent="0.35">
      <c r="A104" t="s">
        <v>1793</v>
      </c>
      <c r="B104" t="s">
        <v>1493</v>
      </c>
      <c r="C104" t="s">
        <v>1790</v>
      </c>
      <c r="D104" t="s">
        <v>1537</v>
      </c>
      <c r="E104" t="s">
        <v>1538</v>
      </c>
      <c r="F104" t="s">
        <v>1791</v>
      </c>
      <c r="G104" t="s">
        <v>1734</v>
      </c>
      <c r="H104" t="s">
        <v>1792</v>
      </c>
      <c r="I104" t="s">
        <v>1498</v>
      </c>
      <c r="J104">
        <v>1</v>
      </c>
    </row>
    <row r="105" spans="1:10" x14ac:dyDescent="0.35">
      <c r="A105" t="s">
        <v>1794</v>
      </c>
      <c r="B105" t="s">
        <v>1493</v>
      </c>
      <c r="C105" t="s">
        <v>1790</v>
      </c>
      <c r="D105" t="s">
        <v>1537</v>
      </c>
      <c r="E105" t="s">
        <v>1538</v>
      </c>
      <c r="F105" t="s">
        <v>1791</v>
      </c>
      <c r="G105" t="s">
        <v>1734</v>
      </c>
      <c r="H105" t="s">
        <v>1792</v>
      </c>
      <c r="I105" t="s">
        <v>1498</v>
      </c>
      <c r="J105">
        <v>1</v>
      </c>
    </row>
    <row r="106" spans="1:10" x14ac:dyDescent="0.35">
      <c r="A106" t="s">
        <v>1795</v>
      </c>
      <c r="B106" t="s">
        <v>1493</v>
      </c>
      <c r="C106" t="s">
        <v>1790</v>
      </c>
      <c r="D106" t="s">
        <v>1796</v>
      </c>
      <c r="E106" t="s">
        <v>1797</v>
      </c>
      <c r="F106" t="s">
        <v>1798</v>
      </c>
      <c r="G106" t="s">
        <v>1734</v>
      </c>
      <c r="H106" t="s">
        <v>1792</v>
      </c>
      <c r="I106" t="s">
        <v>1498</v>
      </c>
      <c r="J106">
        <v>1</v>
      </c>
    </row>
    <row r="107" spans="1:10" x14ac:dyDescent="0.35">
      <c r="A107" t="s">
        <v>1799</v>
      </c>
      <c r="B107" t="s">
        <v>1493</v>
      </c>
      <c r="C107" t="s">
        <v>1790</v>
      </c>
      <c r="D107" t="s">
        <v>1800</v>
      </c>
      <c r="E107" t="s">
        <v>1801</v>
      </c>
      <c r="F107" t="s">
        <v>1802</v>
      </c>
      <c r="G107" t="s">
        <v>1734</v>
      </c>
      <c r="H107" t="s">
        <v>1792</v>
      </c>
      <c r="I107" t="s">
        <v>1498</v>
      </c>
      <c r="J107">
        <v>1</v>
      </c>
    </row>
    <row r="108" spans="1:10" x14ac:dyDescent="0.35">
      <c r="A108" t="s">
        <v>1803</v>
      </c>
      <c r="B108" t="s">
        <v>1493</v>
      </c>
      <c r="C108" t="s">
        <v>1790</v>
      </c>
      <c r="D108" t="s">
        <v>1537</v>
      </c>
      <c r="E108" t="s">
        <v>1538</v>
      </c>
      <c r="F108" t="s">
        <v>1791</v>
      </c>
      <c r="G108" t="s">
        <v>1734</v>
      </c>
      <c r="H108" t="s">
        <v>1792</v>
      </c>
      <c r="I108" t="s">
        <v>1498</v>
      </c>
      <c r="J108">
        <v>1</v>
      </c>
    </row>
    <row r="109" spans="1:10" x14ac:dyDescent="0.35">
      <c r="A109" t="s">
        <v>1804</v>
      </c>
      <c r="B109" t="s">
        <v>1493</v>
      </c>
      <c r="C109" t="s">
        <v>1790</v>
      </c>
      <c r="D109" t="s">
        <v>1805</v>
      </c>
      <c r="E109" t="s">
        <v>1806</v>
      </c>
      <c r="F109" t="s">
        <v>1807</v>
      </c>
      <c r="G109" t="s">
        <v>1734</v>
      </c>
      <c r="H109" t="s">
        <v>1792</v>
      </c>
      <c r="I109" t="s">
        <v>1498</v>
      </c>
      <c r="J109">
        <v>1</v>
      </c>
    </row>
    <row r="110" spans="1:10" x14ac:dyDescent="0.35">
      <c r="A110" t="s">
        <v>1539</v>
      </c>
      <c r="B110" t="s">
        <v>1493</v>
      </c>
      <c r="C110" t="s">
        <v>1540</v>
      </c>
      <c r="D110" t="s">
        <v>1541</v>
      </c>
      <c r="E110" t="s">
        <v>1542</v>
      </c>
      <c r="F110" t="s">
        <v>1808</v>
      </c>
      <c r="G110" t="s">
        <v>1734</v>
      </c>
      <c r="H110" t="s">
        <v>1809</v>
      </c>
      <c r="I110" t="s">
        <v>1498</v>
      </c>
      <c r="J110">
        <v>1</v>
      </c>
    </row>
    <row r="111" spans="1:10" x14ac:dyDescent="0.35">
      <c r="A111" t="s">
        <v>1810</v>
      </c>
      <c r="B111" t="s">
        <v>1493</v>
      </c>
      <c r="C111" t="s">
        <v>1540</v>
      </c>
      <c r="D111" t="s">
        <v>1541</v>
      </c>
      <c r="E111" t="s">
        <v>1542</v>
      </c>
      <c r="F111" t="s">
        <v>1808</v>
      </c>
      <c r="G111" t="s">
        <v>1734</v>
      </c>
      <c r="H111" t="s">
        <v>1809</v>
      </c>
      <c r="I111" t="s">
        <v>1498</v>
      </c>
      <c r="J111">
        <v>1</v>
      </c>
    </row>
    <row r="112" spans="1:10" x14ac:dyDescent="0.35">
      <c r="A112" t="s">
        <v>1811</v>
      </c>
      <c r="B112" t="s">
        <v>1493</v>
      </c>
      <c r="C112" t="s">
        <v>1540</v>
      </c>
      <c r="D112" t="s">
        <v>1541</v>
      </c>
      <c r="E112" t="s">
        <v>1542</v>
      </c>
      <c r="F112" t="s">
        <v>1808</v>
      </c>
      <c r="G112" t="s">
        <v>1734</v>
      </c>
      <c r="H112" t="s">
        <v>1809</v>
      </c>
      <c r="I112" t="s">
        <v>1498</v>
      </c>
      <c r="J112">
        <v>1</v>
      </c>
    </row>
    <row r="113" spans="1:10" x14ac:dyDescent="0.35">
      <c r="A113" t="s">
        <v>1521</v>
      </c>
      <c r="B113" t="s">
        <v>1493</v>
      </c>
      <c r="C113" t="s">
        <v>1522</v>
      </c>
      <c r="D113" t="s">
        <v>1523</v>
      </c>
      <c r="E113" t="s">
        <v>1524</v>
      </c>
      <c r="F113" t="s">
        <v>1812</v>
      </c>
      <c r="G113" t="s">
        <v>1734</v>
      </c>
      <c r="H113" t="s">
        <v>1813</v>
      </c>
      <c r="I113" t="s">
        <v>1498</v>
      </c>
      <c r="J113">
        <v>1</v>
      </c>
    </row>
    <row r="114" spans="1:10" x14ac:dyDescent="0.35">
      <c r="A114" t="s">
        <v>1814</v>
      </c>
      <c r="B114" t="s">
        <v>1493</v>
      </c>
      <c r="C114" t="s">
        <v>1522</v>
      </c>
      <c r="D114" t="s">
        <v>1523</v>
      </c>
      <c r="E114" t="s">
        <v>1524</v>
      </c>
      <c r="F114" t="s">
        <v>1812</v>
      </c>
      <c r="G114" t="s">
        <v>1734</v>
      </c>
      <c r="H114" t="s">
        <v>1813</v>
      </c>
      <c r="I114" t="s">
        <v>1498</v>
      </c>
      <c r="J114">
        <v>1</v>
      </c>
    </row>
    <row r="115" spans="1:10" x14ac:dyDescent="0.35">
      <c r="A115" t="s">
        <v>1815</v>
      </c>
      <c r="B115" t="s">
        <v>1493</v>
      </c>
      <c r="C115" t="s">
        <v>1522</v>
      </c>
      <c r="D115" t="s">
        <v>1523</v>
      </c>
      <c r="E115" t="s">
        <v>1524</v>
      </c>
      <c r="F115" t="s">
        <v>1812</v>
      </c>
      <c r="G115" t="s">
        <v>1734</v>
      </c>
      <c r="H115" t="s">
        <v>1813</v>
      </c>
      <c r="I115" t="s">
        <v>1498</v>
      </c>
      <c r="J115">
        <v>1</v>
      </c>
    </row>
    <row r="116" spans="1:10" x14ac:dyDescent="0.35">
      <c r="A116" t="s">
        <v>1533</v>
      </c>
      <c r="B116" t="s">
        <v>1493</v>
      </c>
      <c r="C116" t="s">
        <v>1522</v>
      </c>
      <c r="D116" t="s">
        <v>1534</v>
      </c>
      <c r="E116" t="s">
        <v>1535</v>
      </c>
      <c r="F116" t="s">
        <v>1816</v>
      </c>
      <c r="G116" t="s">
        <v>1734</v>
      </c>
      <c r="H116" t="s">
        <v>1817</v>
      </c>
      <c r="I116" t="s">
        <v>1498</v>
      </c>
      <c r="J116">
        <v>1</v>
      </c>
    </row>
    <row r="117" spans="1:10" x14ac:dyDescent="0.35">
      <c r="A117" t="s">
        <v>1818</v>
      </c>
      <c r="B117" t="s">
        <v>1493</v>
      </c>
      <c r="C117" t="s">
        <v>1522</v>
      </c>
      <c r="D117" t="s">
        <v>1534</v>
      </c>
      <c r="E117" t="s">
        <v>1535</v>
      </c>
      <c r="F117" t="s">
        <v>1816</v>
      </c>
      <c r="G117" t="s">
        <v>1734</v>
      </c>
      <c r="H117" t="s">
        <v>1817</v>
      </c>
      <c r="I117" t="s">
        <v>1498</v>
      </c>
      <c r="J117">
        <v>1</v>
      </c>
    </row>
    <row r="118" spans="1:10" x14ac:dyDescent="0.35">
      <c r="A118" t="s">
        <v>1819</v>
      </c>
      <c r="B118" t="s">
        <v>1493</v>
      </c>
      <c r="C118" t="s">
        <v>1820</v>
      </c>
      <c r="D118" t="s">
        <v>1821</v>
      </c>
      <c r="E118" t="s">
        <v>1822</v>
      </c>
      <c r="F118" t="s">
        <v>1823</v>
      </c>
      <c r="G118" t="s">
        <v>1734</v>
      </c>
      <c r="H118" t="s">
        <v>1824</v>
      </c>
      <c r="I118" t="s">
        <v>1498</v>
      </c>
      <c r="J118">
        <v>1</v>
      </c>
    </row>
    <row r="119" spans="1:10" x14ac:dyDescent="0.35">
      <c r="A119" t="s">
        <v>1525</v>
      </c>
      <c r="B119" t="s">
        <v>1493</v>
      </c>
      <c r="C119" t="s">
        <v>1825</v>
      </c>
      <c r="D119" t="s">
        <v>1526</v>
      </c>
      <c r="E119" t="s">
        <v>1527</v>
      </c>
      <c r="F119" t="s">
        <v>1826</v>
      </c>
      <c r="G119" t="s">
        <v>1734</v>
      </c>
      <c r="H119" t="s">
        <v>1827</v>
      </c>
      <c r="I119" t="s">
        <v>1498</v>
      </c>
      <c r="J119">
        <v>1</v>
      </c>
    </row>
    <row r="120" spans="1:10" x14ac:dyDescent="0.35">
      <c r="A120" t="s">
        <v>1828</v>
      </c>
      <c r="B120" t="s">
        <v>1493</v>
      </c>
      <c r="C120" t="s">
        <v>1825</v>
      </c>
      <c r="D120" t="s">
        <v>1526</v>
      </c>
      <c r="E120" t="s">
        <v>1527</v>
      </c>
      <c r="F120" t="s">
        <v>1826</v>
      </c>
      <c r="G120" t="s">
        <v>1734</v>
      </c>
      <c r="H120" t="s">
        <v>1827</v>
      </c>
      <c r="I120" t="s">
        <v>1498</v>
      </c>
      <c r="J120">
        <v>1</v>
      </c>
    </row>
    <row r="121" spans="1:10" x14ac:dyDescent="0.35">
      <c r="A121" t="s">
        <v>1829</v>
      </c>
      <c r="B121" t="s">
        <v>1493</v>
      </c>
      <c r="C121" t="s">
        <v>1830</v>
      </c>
      <c r="D121" t="s">
        <v>1796</v>
      </c>
      <c r="E121" t="s">
        <v>1797</v>
      </c>
      <c r="F121" t="s">
        <v>1798</v>
      </c>
      <c r="G121" t="s">
        <v>1734</v>
      </c>
      <c r="H121" t="s">
        <v>1831</v>
      </c>
      <c r="I121" t="s">
        <v>1498</v>
      </c>
      <c r="J121">
        <v>1</v>
      </c>
    </row>
    <row r="122" spans="1:10" x14ac:dyDescent="0.35">
      <c r="A122" t="s">
        <v>1832</v>
      </c>
      <c r="B122" t="s">
        <v>1493</v>
      </c>
      <c r="C122" t="s">
        <v>1830</v>
      </c>
      <c r="D122" t="s">
        <v>1796</v>
      </c>
      <c r="E122" t="s">
        <v>1797</v>
      </c>
      <c r="F122" t="s">
        <v>1798</v>
      </c>
      <c r="G122" t="s">
        <v>1734</v>
      </c>
      <c r="H122" t="s">
        <v>1831</v>
      </c>
      <c r="I122" t="s">
        <v>1498</v>
      </c>
      <c r="J122">
        <v>1</v>
      </c>
    </row>
    <row r="123" spans="1:10" x14ac:dyDescent="0.35">
      <c r="A123" t="s">
        <v>1528</v>
      </c>
      <c r="B123" t="s">
        <v>1493</v>
      </c>
      <c r="C123" t="s">
        <v>1529</v>
      </c>
      <c r="D123" t="s">
        <v>1530</v>
      </c>
      <c r="E123" t="s">
        <v>1531</v>
      </c>
      <c r="F123" t="s">
        <v>1833</v>
      </c>
      <c r="G123" t="s">
        <v>1834</v>
      </c>
      <c r="H123" t="s">
        <v>1835</v>
      </c>
      <c r="I123" t="s">
        <v>1498</v>
      </c>
      <c r="J123">
        <v>1</v>
      </c>
    </row>
    <row r="124" spans="1:10" x14ac:dyDescent="0.35">
      <c r="A124" t="s">
        <v>1836</v>
      </c>
      <c r="B124" t="s">
        <v>1493</v>
      </c>
      <c r="C124" t="s">
        <v>1529</v>
      </c>
      <c r="D124" t="s">
        <v>1530</v>
      </c>
      <c r="E124" t="s">
        <v>1531</v>
      </c>
      <c r="F124" t="s">
        <v>1833</v>
      </c>
      <c r="G124" t="s">
        <v>1834</v>
      </c>
      <c r="H124" t="s">
        <v>1835</v>
      </c>
      <c r="I124" t="s">
        <v>1498</v>
      </c>
      <c r="J124">
        <v>1</v>
      </c>
    </row>
    <row r="125" spans="1:10" x14ac:dyDescent="0.35">
      <c r="A125" t="s">
        <v>1532</v>
      </c>
      <c r="B125" t="s">
        <v>1493</v>
      </c>
      <c r="C125" t="s">
        <v>1529</v>
      </c>
      <c r="D125" t="s">
        <v>1530</v>
      </c>
      <c r="E125" t="s">
        <v>1531</v>
      </c>
      <c r="F125" t="s">
        <v>1833</v>
      </c>
      <c r="G125" t="s">
        <v>1834</v>
      </c>
      <c r="H125" t="s">
        <v>1835</v>
      </c>
      <c r="I125" t="s">
        <v>1498</v>
      </c>
      <c r="J125">
        <v>2</v>
      </c>
    </row>
    <row r="126" spans="1:10" x14ac:dyDescent="0.35">
      <c r="A126" t="s">
        <v>1837</v>
      </c>
      <c r="B126" t="s">
        <v>1493</v>
      </c>
      <c r="C126" t="s">
        <v>1529</v>
      </c>
      <c r="D126" t="s">
        <v>1530</v>
      </c>
      <c r="E126" t="s">
        <v>1531</v>
      </c>
      <c r="F126" t="s">
        <v>1833</v>
      </c>
      <c r="G126" t="s">
        <v>1834</v>
      </c>
      <c r="H126" t="s">
        <v>1835</v>
      </c>
      <c r="I126" t="s">
        <v>1498</v>
      </c>
      <c r="J126">
        <v>1</v>
      </c>
    </row>
    <row r="127" spans="1:10" x14ac:dyDescent="0.35">
      <c r="A127" t="s">
        <v>1838</v>
      </c>
      <c r="B127" t="s">
        <v>1493</v>
      </c>
      <c r="C127" t="s">
        <v>1529</v>
      </c>
      <c r="D127" t="s">
        <v>1839</v>
      </c>
      <c r="E127" t="s">
        <v>1840</v>
      </c>
      <c r="F127" t="s">
        <v>1841</v>
      </c>
      <c r="G127" t="s">
        <v>1834</v>
      </c>
      <c r="H127" t="s">
        <v>1842</v>
      </c>
      <c r="I127" t="s">
        <v>1498</v>
      </c>
      <c r="J127">
        <v>1</v>
      </c>
    </row>
    <row r="128" spans="1:10" x14ac:dyDescent="0.35">
      <c r="A128" t="s">
        <v>1843</v>
      </c>
      <c r="B128" t="s">
        <v>1493</v>
      </c>
      <c r="C128" t="s">
        <v>1529</v>
      </c>
      <c r="D128" t="s">
        <v>1844</v>
      </c>
      <c r="E128" t="s">
        <v>1845</v>
      </c>
      <c r="F128" t="s">
        <v>1846</v>
      </c>
      <c r="G128" t="s">
        <v>1834</v>
      </c>
      <c r="H128" t="s">
        <v>1847</v>
      </c>
      <c r="I128" t="s">
        <v>1498</v>
      </c>
      <c r="J128">
        <v>1</v>
      </c>
    </row>
    <row r="129" spans="1:10" x14ac:dyDescent="0.35">
      <c r="A129" t="s">
        <v>1848</v>
      </c>
      <c r="B129" t="s">
        <v>1493</v>
      </c>
      <c r="C129" t="s">
        <v>1529</v>
      </c>
      <c r="D129" t="s">
        <v>1844</v>
      </c>
      <c r="E129" t="s">
        <v>1845</v>
      </c>
      <c r="F129" t="s">
        <v>1846</v>
      </c>
      <c r="G129" t="s">
        <v>1834</v>
      </c>
      <c r="H129" t="s">
        <v>1847</v>
      </c>
      <c r="I129" t="s">
        <v>1498</v>
      </c>
      <c r="J129">
        <v>1</v>
      </c>
    </row>
    <row r="130" spans="1:10" x14ac:dyDescent="0.35">
      <c r="A130" t="s">
        <v>1849</v>
      </c>
      <c r="B130" t="s">
        <v>1493</v>
      </c>
      <c r="C130" t="s">
        <v>1850</v>
      </c>
      <c r="D130" t="s">
        <v>1851</v>
      </c>
      <c r="E130" t="s">
        <v>1852</v>
      </c>
      <c r="F130" t="s">
        <v>1853</v>
      </c>
      <c r="G130" t="s">
        <v>1734</v>
      </c>
      <c r="H130" t="s">
        <v>1854</v>
      </c>
      <c r="I130" t="s">
        <v>1498</v>
      </c>
      <c r="J130">
        <v>1</v>
      </c>
    </row>
    <row r="131" spans="1:10" x14ac:dyDescent="0.35">
      <c r="A131" t="s">
        <v>1855</v>
      </c>
      <c r="B131" t="s">
        <v>1493</v>
      </c>
      <c r="C131" t="s">
        <v>1856</v>
      </c>
      <c r="D131" t="s">
        <v>1857</v>
      </c>
      <c r="E131" t="s">
        <v>1858</v>
      </c>
      <c r="F131" t="s">
        <v>1859</v>
      </c>
      <c r="G131" t="s">
        <v>1734</v>
      </c>
      <c r="H131" t="s">
        <v>1860</v>
      </c>
      <c r="I131" t="s">
        <v>1498</v>
      </c>
      <c r="J131">
        <v>1</v>
      </c>
    </row>
    <row r="132" spans="1:10" x14ac:dyDescent="0.35">
      <c r="A132" t="s">
        <v>1861</v>
      </c>
      <c r="B132" t="s">
        <v>1493</v>
      </c>
      <c r="C132" t="s">
        <v>1862</v>
      </c>
      <c r="D132" t="s">
        <v>1863</v>
      </c>
      <c r="E132" t="s">
        <v>1864</v>
      </c>
      <c r="F132" t="s">
        <v>1865</v>
      </c>
      <c r="G132" t="s">
        <v>1734</v>
      </c>
      <c r="H132" t="s">
        <v>1866</v>
      </c>
      <c r="I132" t="s">
        <v>1498</v>
      </c>
      <c r="J132">
        <v>1</v>
      </c>
    </row>
    <row r="133" spans="1:10" x14ac:dyDescent="0.35">
      <c r="A133" t="s">
        <v>1543</v>
      </c>
      <c r="B133" t="s">
        <v>1493</v>
      </c>
      <c r="C133" t="s">
        <v>1544</v>
      </c>
      <c r="D133" t="s">
        <v>1545</v>
      </c>
      <c r="E133" t="s">
        <v>1546</v>
      </c>
      <c r="F133" t="s">
        <v>1867</v>
      </c>
      <c r="G133" t="s">
        <v>1734</v>
      </c>
      <c r="H133" t="s">
        <v>1868</v>
      </c>
      <c r="I133" t="s">
        <v>1498</v>
      </c>
      <c r="J133">
        <v>1</v>
      </c>
    </row>
    <row r="134" spans="1:10" x14ac:dyDescent="0.35">
      <c r="A134" t="s">
        <v>1547</v>
      </c>
      <c r="B134" t="s">
        <v>1493</v>
      </c>
      <c r="C134" t="s">
        <v>1544</v>
      </c>
      <c r="D134" t="s">
        <v>1548</v>
      </c>
      <c r="E134" t="s">
        <v>1549</v>
      </c>
      <c r="F134" t="s">
        <v>1869</v>
      </c>
      <c r="G134" t="s">
        <v>1734</v>
      </c>
      <c r="H134" t="s">
        <v>1868</v>
      </c>
      <c r="I134" t="s">
        <v>1498</v>
      </c>
      <c r="J134">
        <v>1</v>
      </c>
    </row>
    <row r="135" spans="1:10" x14ac:dyDescent="0.35">
      <c r="A135" t="s">
        <v>1870</v>
      </c>
      <c r="B135" t="s">
        <v>1493</v>
      </c>
      <c r="C135" t="s">
        <v>1871</v>
      </c>
      <c r="D135" t="s">
        <v>1872</v>
      </c>
      <c r="E135" t="s">
        <v>1873</v>
      </c>
      <c r="F135" t="s">
        <v>1874</v>
      </c>
      <c r="G135" t="s">
        <v>1649</v>
      </c>
      <c r="H135" t="s">
        <v>1875</v>
      </c>
      <c r="I135" t="s">
        <v>1498</v>
      </c>
      <c r="J135">
        <v>1</v>
      </c>
    </row>
    <row r="136" spans="1:10" x14ac:dyDescent="0.35">
      <c r="A136" t="s">
        <v>1876</v>
      </c>
      <c r="B136" t="s">
        <v>1493</v>
      </c>
      <c r="C136" t="s">
        <v>1877</v>
      </c>
      <c r="D136" t="s">
        <v>1878</v>
      </c>
      <c r="E136" t="s">
        <v>1879</v>
      </c>
      <c r="F136" t="s">
        <v>1880</v>
      </c>
      <c r="G136" t="s">
        <v>1734</v>
      </c>
      <c r="H136" t="s">
        <v>1881</v>
      </c>
      <c r="I136" t="s">
        <v>1498</v>
      </c>
      <c r="J136">
        <v>1</v>
      </c>
    </row>
    <row r="139" spans="1:10" ht="15.5" x14ac:dyDescent="0.35">
      <c r="A139" s="72" t="s">
        <v>1882</v>
      </c>
      <c r="B139" s="73"/>
      <c r="C139" s="73"/>
      <c r="D139" s="73"/>
      <c r="E139" s="73"/>
      <c r="F139" s="73"/>
      <c r="G139" s="73"/>
      <c r="H139" s="73"/>
      <c r="I139" s="73"/>
      <c r="J139" s="73"/>
    </row>
    <row r="141" spans="1:10" x14ac:dyDescent="0.35">
      <c r="A141" s="74" t="s">
        <v>1426</v>
      </c>
      <c r="B141" s="74" t="s">
        <v>1883</v>
      </c>
      <c r="C141" s="74" t="s">
        <v>1884</v>
      </c>
      <c r="D141" s="74" t="s">
        <v>1885</v>
      </c>
      <c r="E141" s="74" t="s">
        <v>1591</v>
      </c>
    </row>
    <row r="142" spans="1:10" x14ac:dyDescent="0.35">
      <c r="A142" t="s">
        <v>1886</v>
      </c>
      <c r="B142">
        <v>8</v>
      </c>
      <c r="C142">
        <f>SUMIF($C$2:$C$136,"Software Ofimático",$J$2:$J$136)+SUMIF($C$2:$C$136,"Hojas de Cálculo",$J$2:$J$136)</f>
        <v>24</v>
      </c>
      <c r="D142" s="75">
        <f t="shared" ref="D142:D161" si="0">C142/SUM($C$142:$C$161)</f>
        <v>0.16216216216216217</v>
      </c>
      <c r="E142" s="76" t="s">
        <v>973</v>
      </c>
    </row>
    <row r="143" spans="1:10" x14ac:dyDescent="0.35">
      <c r="A143" t="s">
        <v>1593</v>
      </c>
      <c r="B143">
        <v>7</v>
      </c>
      <c r="C143">
        <f>SUMIF($C$2:$C$136,"Iniciativa",$J$2:$J$136)</f>
        <v>11</v>
      </c>
      <c r="D143" s="75">
        <f t="shared" si="0"/>
        <v>7.4324324324324328E-2</v>
      </c>
      <c r="E143" s="76" t="s">
        <v>973</v>
      </c>
    </row>
    <row r="144" spans="1:10" x14ac:dyDescent="0.35">
      <c r="A144" t="s">
        <v>1500</v>
      </c>
      <c r="B144">
        <v>6</v>
      </c>
      <c r="C144">
        <f>SUMIF($C$2:$C$136,"Comunicación",$J$2:$J$136)</f>
        <v>11</v>
      </c>
      <c r="D144" s="75">
        <f t="shared" si="0"/>
        <v>7.4324324324324328E-2</v>
      </c>
      <c r="E144" s="76" t="s">
        <v>973</v>
      </c>
    </row>
    <row r="145" spans="1:5" x14ac:dyDescent="0.35">
      <c r="A145" t="s">
        <v>1592</v>
      </c>
      <c r="B145">
        <v>4</v>
      </c>
      <c r="C145">
        <f>SUMIF($C$2:$C$136,"Colaboración",$J$2:$J$136)</f>
        <v>9</v>
      </c>
      <c r="D145" s="75">
        <f t="shared" si="0"/>
        <v>6.0810810810810814E-2</v>
      </c>
      <c r="E145" s="76" t="s">
        <v>973</v>
      </c>
    </row>
    <row r="146" spans="1:5" x14ac:dyDescent="0.35">
      <c r="A146" t="s">
        <v>1445</v>
      </c>
      <c r="B146">
        <v>6</v>
      </c>
      <c r="C146">
        <f>SUMIF($C$2:$C$136,"Sistemas CRM",$J$2:$J$136)</f>
        <v>7</v>
      </c>
      <c r="D146" s="75">
        <f t="shared" si="0"/>
        <v>4.72972972972973E-2</v>
      </c>
      <c r="E146" s="77" t="s">
        <v>1887</v>
      </c>
    </row>
    <row r="147" spans="1:5" x14ac:dyDescent="0.35">
      <c r="A147" t="s">
        <v>1594</v>
      </c>
      <c r="B147">
        <v>5</v>
      </c>
      <c r="C147">
        <f>SUMIF($C$2:$C$136,"Diseño Gráfico",$J$2:$J$136)</f>
        <v>8</v>
      </c>
      <c r="D147" s="75">
        <f t="shared" si="0"/>
        <v>5.4054054054054057E-2</v>
      </c>
      <c r="E147" s="77" t="s">
        <v>1887</v>
      </c>
    </row>
    <row r="148" spans="1:5" x14ac:dyDescent="0.35">
      <c r="A148" t="s">
        <v>1519</v>
      </c>
      <c r="B148">
        <v>5</v>
      </c>
      <c r="C148">
        <f>SUMIF($C$2:$C$136,"Orientación a Resultados",$J$2:$J$136)</f>
        <v>6</v>
      </c>
      <c r="D148" s="75">
        <f t="shared" si="0"/>
        <v>4.0540540540540543E-2</v>
      </c>
      <c r="E148" s="77" t="s">
        <v>1887</v>
      </c>
    </row>
    <row r="149" spans="1:5" x14ac:dyDescent="0.35">
      <c r="A149" t="s">
        <v>1529</v>
      </c>
      <c r="B149">
        <v>7</v>
      </c>
      <c r="C149">
        <f>SUMIF($C$2:$C$136,"Orientación al Cliente",$J$2:$J$136)</f>
        <v>8</v>
      </c>
      <c r="D149" s="75">
        <f t="shared" si="0"/>
        <v>5.4054054054054057E-2</v>
      </c>
      <c r="E149" s="77" t="s">
        <v>1887</v>
      </c>
    </row>
    <row r="150" spans="1:5" x14ac:dyDescent="0.35">
      <c r="A150" t="s">
        <v>1509</v>
      </c>
      <c r="B150">
        <v>5</v>
      </c>
      <c r="C150">
        <f>SUMIF($C$2:$C$136,"Liderazgo",$J$2:$J$136)</f>
        <v>5</v>
      </c>
      <c r="D150" s="75">
        <f t="shared" si="0"/>
        <v>3.3783783783783786E-2</v>
      </c>
      <c r="E150" s="77" t="s">
        <v>1887</v>
      </c>
    </row>
    <row r="151" spans="1:5" x14ac:dyDescent="0.35">
      <c r="A151" t="s">
        <v>1595</v>
      </c>
      <c r="B151">
        <v>4</v>
      </c>
      <c r="C151">
        <f>SUMIF($C$2:$C$136,"ERP/Gestión",$J$2:$J$136)</f>
        <v>5</v>
      </c>
      <c r="D151" s="75">
        <f t="shared" si="0"/>
        <v>3.3783783783783786E-2</v>
      </c>
      <c r="E151" s="77" t="s">
        <v>1887</v>
      </c>
    </row>
    <row r="152" spans="1:5" x14ac:dyDescent="0.35">
      <c r="A152" t="s">
        <v>1597</v>
      </c>
      <c r="B152">
        <v>2</v>
      </c>
      <c r="C152">
        <f>SUMIF($C$2:$C$136,"Diseño CAD",$J$2:$J$136)</f>
        <v>4</v>
      </c>
      <c r="D152" s="75">
        <f t="shared" si="0"/>
        <v>2.7027027027027029E-2</v>
      </c>
      <c r="E152" s="78" t="s">
        <v>975</v>
      </c>
    </row>
    <row r="153" spans="1:5" x14ac:dyDescent="0.35">
      <c r="A153" t="s">
        <v>1596</v>
      </c>
      <c r="B153">
        <v>4</v>
      </c>
      <c r="C153">
        <f>SUMIF($C$2:$C$136,"Marketing Digital",$J$2:$J$136)</f>
        <v>4</v>
      </c>
      <c r="D153" s="75">
        <f t="shared" si="0"/>
        <v>2.7027027027027029E-2</v>
      </c>
      <c r="E153" s="78" t="s">
        <v>975</v>
      </c>
    </row>
    <row r="154" spans="1:5" x14ac:dyDescent="0.35">
      <c r="A154" t="s">
        <v>1489</v>
      </c>
      <c r="B154">
        <v>5</v>
      </c>
      <c r="C154">
        <f>SUMIF($C$2:$C$136,"E-commerce",$J$2:$J$136)</f>
        <v>6</v>
      </c>
      <c r="D154" s="75">
        <f t="shared" si="0"/>
        <v>4.0540540540540543E-2</v>
      </c>
      <c r="E154" s="78" t="s">
        <v>975</v>
      </c>
    </row>
    <row r="155" spans="1:5" x14ac:dyDescent="0.35">
      <c r="A155" t="s">
        <v>1522</v>
      </c>
      <c r="B155">
        <v>5</v>
      </c>
      <c r="C155">
        <f>SUMIF($C$2:$C$136,"Pensamiento Analítico",$J$2:$J$136)</f>
        <v>5</v>
      </c>
      <c r="D155" s="75">
        <f t="shared" si="0"/>
        <v>3.3783783783783786E-2</v>
      </c>
      <c r="E155" s="78" t="s">
        <v>975</v>
      </c>
    </row>
    <row r="156" spans="1:5" x14ac:dyDescent="0.35">
      <c r="A156" t="s">
        <v>1888</v>
      </c>
      <c r="B156">
        <v>6</v>
      </c>
      <c r="C156">
        <f>SUMIF($C$2:$C$136,"Organización",$J$2:$J$136)</f>
        <v>7</v>
      </c>
      <c r="D156" s="75">
        <f t="shared" si="0"/>
        <v>4.72972972972973E-2</v>
      </c>
      <c r="E156" s="78" t="s">
        <v>975</v>
      </c>
    </row>
    <row r="157" spans="1:5" x14ac:dyDescent="0.35">
      <c r="A157" t="s">
        <v>1562</v>
      </c>
      <c r="B157">
        <v>4</v>
      </c>
      <c r="C157">
        <f>SUMIF($C$2:$C$136,"Electricidad",$J$2:$J$136)</f>
        <v>4</v>
      </c>
      <c r="D157" s="75">
        <f t="shared" si="0"/>
        <v>2.7027027027027029E-2</v>
      </c>
      <c r="E157" s="79" t="s">
        <v>1889</v>
      </c>
    </row>
    <row r="158" spans="1:5" x14ac:dyDescent="0.35">
      <c r="A158" t="s">
        <v>1476</v>
      </c>
      <c r="B158">
        <v>3</v>
      </c>
      <c r="C158">
        <f>SUMIF($C$2:$C$136,"Cloud Computing",$J$2:$J$136)</f>
        <v>3</v>
      </c>
      <c r="D158" s="75">
        <f t="shared" si="0"/>
        <v>2.0270270270270271E-2</v>
      </c>
      <c r="E158" s="79" t="s">
        <v>1889</v>
      </c>
    </row>
    <row r="159" spans="1:5" x14ac:dyDescent="0.35">
      <c r="A159" t="s">
        <v>1640</v>
      </c>
      <c r="B159">
        <v>2</v>
      </c>
      <c r="C159">
        <f>SUMIF($C$2:$C$136,"Programación",$J$2:$J$136)</f>
        <v>2</v>
      </c>
      <c r="D159" s="75">
        <f t="shared" si="0"/>
        <v>1.3513513513513514E-2</v>
      </c>
      <c r="E159" s="79" t="s">
        <v>1889</v>
      </c>
    </row>
    <row r="160" spans="1:5" x14ac:dyDescent="0.35">
      <c r="A160" t="s">
        <v>1748</v>
      </c>
      <c r="B160">
        <v>2</v>
      </c>
      <c r="C160">
        <f>SUMIF($C$2:$C$136,"Negociación",$J$2:$J$136)</f>
        <v>4</v>
      </c>
      <c r="D160" s="75">
        <f t="shared" si="0"/>
        <v>2.7027027027027029E-2</v>
      </c>
      <c r="E160" s="77" t="s">
        <v>1887</v>
      </c>
    </row>
    <row r="161" spans="1:5" x14ac:dyDescent="0.35">
      <c r="A161" t="s">
        <v>1890</v>
      </c>
      <c r="B161">
        <v>25</v>
      </c>
      <c r="C161">
        <v>15</v>
      </c>
      <c r="D161" s="75">
        <f t="shared" si="0"/>
        <v>0.10135135135135136</v>
      </c>
      <c r="E161" s="81" t="s">
        <v>1598</v>
      </c>
    </row>
    <row r="164" spans="1:5" x14ac:dyDescent="0.35">
      <c r="A164" s="71" t="s">
        <v>1599</v>
      </c>
      <c r="B164" s="80"/>
      <c r="C164" s="80"/>
      <c r="D164" s="80"/>
      <c r="E164" s="80"/>
    </row>
    <row r="166" spans="1:5" x14ac:dyDescent="0.35">
      <c r="A166" s="26" t="s">
        <v>1891</v>
      </c>
    </row>
    <row r="167" spans="1:5" x14ac:dyDescent="0.35">
      <c r="A167" t="s">
        <v>1600</v>
      </c>
      <c r="B167" s="41">
        <v>0.16200000000000001</v>
      </c>
      <c r="C167" t="s">
        <v>1892</v>
      </c>
    </row>
    <row r="168" spans="1:5" x14ac:dyDescent="0.35">
      <c r="A168" t="s">
        <v>1603</v>
      </c>
      <c r="B168" s="41">
        <v>7.3999999999999996E-2</v>
      </c>
      <c r="C168" t="s">
        <v>1893</v>
      </c>
    </row>
    <row r="169" spans="1:5" x14ac:dyDescent="0.35">
      <c r="A169" t="s">
        <v>1601</v>
      </c>
      <c r="B169" s="41">
        <v>7.3999999999999996E-2</v>
      </c>
      <c r="C169" t="s">
        <v>1893</v>
      </c>
    </row>
    <row r="170" spans="1:5" x14ac:dyDescent="0.35">
      <c r="A170" t="s">
        <v>1602</v>
      </c>
      <c r="B170" s="41">
        <v>6.0999999999999999E-2</v>
      </c>
      <c r="C170" t="s">
        <v>1894</v>
      </c>
    </row>
    <row r="172" spans="1:5" x14ac:dyDescent="0.35">
      <c r="A172" s="26" t="s">
        <v>1895</v>
      </c>
    </row>
    <row r="173" spans="1:5" x14ac:dyDescent="0.35">
      <c r="A173" t="s">
        <v>1896</v>
      </c>
      <c r="B173" s="41">
        <v>4.7E-2</v>
      </c>
      <c r="C173" t="s">
        <v>1897</v>
      </c>
    </row>
    <row r="174" spans="1:5" x14ac:dyDescent="0.35">
      <c r="A174" t="s">
        <v>1604</v>
      </c>
      <c r="B174" s="41">
        <v>5.3999999999999999E-2</v>
      </c>
      <c r="C174" t="s">
        <v>1898</v>
      </c>
    </row>
    <row r="175" spans="1:5" x14ac:dyDescent="0.35">
      <c r="A175" t="s">
        <v>1899</v>
      </c>
      <c r="B175" s="41">
        <v>5.3999999999999999E-2</v>
      </c>
      <c r="C175" t="s">
        <v>1898</v>
      </c>
    </row>
    <row r="176" spans="1:5" x14ac:dyDescent="0.35">
      <c r="A176" t="s">
        <v>1605</v>
      </c>
      <c r="B176" s="41">
        <v>3.4000000000000002E-2</v>
      </c>
      <c r="C176" t="s">
        <v>1900</v>
      </c>
    </row>
    <row r="177" spans="1:3" x14ac:dyDescent="0.35">
      <c r="A177" t="s">
        <v>1901</v>
      </c>
      <c r="B177" s="41">
        <v>2.7E-2</v>
      </c>
      <c r="C177" t="s">
        <v>1902</v>
      </c>
    </row>
    <row r="179" spans="1:3" x14ac:dyDescent="0.35">
      <c r="A179" s="26" t="s">
        <v>1903</v>
      </c>
    </row>
    <row r="180" spans="1:3" x14ac:dyDescent="0.35">
      <c r="A180" t="s">
        <v>1904</v>
      </c>
    </row>
    <row r="181" spans="1:3" x14ac:dyDescent="0.35">
      <c r="A181" t="s">
        <v>1905</v>
      </c>
    </row>
    <row r="182" spans="1:3" x14ac:dyDescent="0.35">
      <c r="A182" t="s">
        <v>1906</v>
      </c>
    </row>
    <row r="184" spans="1:3" x14ac:dyDescent="0.35">
      <c r="A184" s="26" t="s">
        <v>1907</v>
      </c>
    </row>
    <row r="185" spans="1:3" x14ac:dyDescent="0.35">
      <c r="A185" t="s">
        <v>1908</v>
      </c>
    </row>
    <row r="186" spans="1:3" x14ac:dyDescent="0.35">
      <c r="A186" t="s">
        <v>1909</v>
      </c>
    </row>
    <row r="188" spans="1:3" x14ac:dyDescent="0.35">
      <c r="A188" s="82" t="s">
        <v>1910</v>
      </c>
    </row>
  </sheetData>
  <autoFilter ref="A1:J188" xr:uid="{F67FD685-DE94-4E6A-BEC2-614EC6375278}"/>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EC31E-2C0C-4B09-A740-021EE9C45D42}">
  <sheetPr>
    <tabColor rgb="FFFF9800"/>
  </sheetPr>
  <dimension ref="A1:K155"/>
  <sheetViews>
    <sheetView topLeftCell="F1" workbookViewId="0">
      <selection activeCell="F9" sqref="F9"/>
    </sheetView>
  </sheetViews>
  <sheetFormatPr baseColWidth="10" defaultRowHeight="14.5" x14ac:dyDescent="0.35"/>
  <cols>
    <col min="9" max="9" width="51.26953125" bestFit="1" customWidth="1"/>
    <col min="10" max="10" width="11.7265625" bestFit="1" customWidth="1"/>
    <col min="11" max="11" width="55.7265625" bestFit="1" customWidth="1"/>
  </cols>
  <sheetData>
    <row r="1" spans="1:11" x14ac:dyDescent="0.35">
      <c r="A1" s="83" t="s">
        <v>1911</v>
      </c>
      <c r="B1" s="83" t="s">
        <v>1912</v>
      </c>
      <c r="C1" s="83" t="s">
        <v>1424</v>
      </c>
      <c r="D1" s="83" t="s">
        <v>1913</v>
      </c>
      <c r="E1" s="83" t="s">
        <v>1429</v>
      </c>
      <c r="F1" s="83" t="s">
        <v>995</v>
      </c>
      <c r="G1" s="83" t="s">
        <v>1431</v>
      </c>
      <c r="H1" s="83" t="s">
        <v>1914</v>
      </c>
      <c r="I1" s="83" t="s">
        <v>1985</v>
      </c>
      <c r="J1" s="83" t="s">
        <v>1986</v>
      </c>
      <c r="K1" s="83" t="s">
        <v>1987</v>
      </c>
    </row>
    <row r="2" spans="1:11" x14ac:dyDescent="0.35">
      <c r="A2">
        <v>1118026700</v>
      </c>
      <c r="B2" t="s">
        <v>10</v>
      </c>
      <c r="C2" t="s">
        <v>1432</v>
      </c>
      <c r="D2" t="s">
        <v>1443</v>
      </c>
      <c r="E2" t="s">
        <v>1915</v>
      </c>
      <c r="F2" t="s">
        <v>1434</v>
      </c>
      <c r="G2" t="s">
        <v>1439</v>
      </c>
      <c r="H2" t="s">
        <v>1433</v>
      </c>
      <c r="I2" t="s">
        <v>1988</v>
      </c>
      <c r="J2">
        <v>5223</v>
      </c>
      <c r="K2" t="s">
        <v>679</v>
      </c>
    </row>
    <row r="3" spans="1:11" x14ac:dyDescent="0.35">
      <c r="A3">
        <v>1118026700</v>
      </c>
      <c r="B3" t="s">
        <v>10</v>
      </c>
      <c r="C3" t="s">
        <v>1636</v>
      </c>
      <c r="D3" t="s">
        <v>1916</v>
      </c>
      <c r="E3" t="s">
        <v>1915</v>
      </c>
      <c r="F3" t="s">
        <v>1489</v>
      </c>
      <c r="G3" t="s">
        <v>1439</v>
      </c>
      <c r="H3" t="s">
        <v>1433</v>
      </c>
      <c r="I3" t="s">
        <v>1988</v>
      </c>
      <c r="J3">
        <v>5223</v>
      </c>
      <c r="K3" t="s">
        <v>679</v>
      </c>
    </row>
    <row r="4" spans="1:11" x14ac:dyDescent="0.35">
      <c r="A4">
        <v>1118026700</v>
      </c>
      <c r="B4" t="s">
        <v>10</v>
      </c>
      <c r="C4" t="s">
        <v>1621</v>
      </c>
      <c r="D4" t="s">
        <v>1617</v>
      </c>
      <c r="E4" t="s">
        <v>1915</v>
      </c>
      <c r="F4" t="s">
        <v>1616</v>
      </c>
      <c r="G4" t="s">
        <v>1439</v>
      </c>
      <c r="H4" t="s">
        <v>1433</v>
      </c>
      <c r="I4" t="s">
        <v>1988</v>
      </c>
      <c r="J4">
        <v>5223</v>
      </c>
      <c r="K4" t="s">
        <v>679</v>
      </c>
    </row>
    <row r="5" spans="1:11" x14ac:dyDescent="0.35">
      <c r="A5">
        <v>1118026700</v>
      </c>
      <c r="B5" t="s">
        <v>10</v>
      </c>
      <c r="C5" t="s">
        <v>1492</v>
      </c>
      <c r="D5" t="s">
        <v>1495</v>
      </c>
      <c r="E5" t="s">
        <v>1734</v>
      </c>
      <c r="F5" t="s">
        <v>1494</v>
      </c>
      <c r="G5" t="s">
        <v>1498</v>
      </c>
      <c r="H5" t="s">
        <v>1493</v>
      </c>
      <c r="I5" t="s">
        <v>1988</v>
      </c>
      <c r="J5">
        <v>5223</v>
      </c>
      <c r="K5" t="s">
        <v>679</v>
      </c>
    </row>
    <row r="6" spans="1:11" x14ac:dyDescent="0.35">
      <c r="A6">
        <v>1118026700</v>
      </c>
      <c r="B6" t="s">
        <v>10</v>
      </c>
      <c r="C6" t="s">
        <v>1739</v>
      </c>
      <c r="D6" t="s">
        <v>1501</v>
      </c>
      <c r="E6" t="s">
        <v>1734</v>
      </c>
      <c r="F6" t="s">
        <v>1500</v>
      </c>
      <c r="G6" t="s">
        <v>1498</v>
      </c>
      <c r="H6" t="s">
        <v>1493</v>
      </c>
      <c r="I6" t="s">
        <v>1988</v>
      </c>
      <c r="J6">
        <v>5223</v>
      </c>
      <c r="K6" t="s">
        <v>679</v>
      </c>
    </row>
    <row r="7" spans="1:11" x14ac:dyDescent="0.35">
      <c r="A7">
        <v>1118026729</v>
      </c>
      <c r="B7" t="s">
        <v>18</v>
      </c>
      <c r="C7" t="s">
        <v>1550</v>
      </c>
      <c r="D7" t="s">
        <v>1552</v>
      </c>
      <c r="E7" t="s">
        <v>1649</v>
      </c>
      <c r="F7" t="s">
        <v>1551</v>
      </c>
      <c r="G7" t="s">
        <v>1498</v>
      </c>
      <c r="H7" t="s">
        <v>1917</v>
      </c>
      <c r="I7" t="s">
        <v>1989</v>
      </c>
      <c r="J7">
        <v>2432</v>
      </c>
      <c r="K7" t="s">
        <v>686</v>
      </c>
    </row>
    <row r="8" spans="1:11" x14ac:dyDescent="0.35">
      <c r="A8">
        <v>1118026729</v>
      </c>
      <c r="B8" t="s">
        <v>18</v>
      </c>
      <c r="C8" t="s">
        <v>1554</v>
      </c>
      <c r="D8" t="s">
        <v>1556</v>
      </c>
      <c r="E8" t="s">
        <v>1649</v>
      </c>
      <c r="F8" t="s">
        <v>1555</v>
      </c>
      <c r="G8" t="s">
        <v>1498</v>
      </c>
      <c r="H8" t="s">
        <v>1917</v>
      </c>
      <c r="I8" t="s">
        <v>1989</v>
      </c>
      <c r="J8">
        <v>2432</v>
      </c>
      <c r="K8" t="s">
        <v>686</v>
      </c>
    </row>
    <row r="9" spans="1:11" x14ac:dyDescent="0.35">
      <c r="A9">
        <v>1118026729</v>
      </c>
      <c r="B9" t="s">
        <v>18</v>
      </c>
      <c r="C9" t="s">
        <v>1655</v>
      </c>
      <c r="D9" t="s">
        <v>1656</v>
      </c>
      <c r="E9" t="s">
        <v>1649</v>
      </c>
      <c r="F9" t="s">
        <v>1555</v>
      </c>
      <c r="G9" t="s">
        <v>1498</v>
      </c>
      <c r="H9" t="s">
        <v>1917</v>
      </c>
      <c r="I9" t="s">
        <v>1989</v>
      </c>
      <c r="J9">
        <v>2432</v>
      </c>
      <c r="K9" t="s">
        <v>686</v>
      </c>
    </row>
    <row r="10" spans="1:11" x14ac:dyDescent="0.35">
      <c r="A10">
        <v>1118026729</v>
      </c>
      <c r="B10" t="s">
        <v>18</v>
      </c>
      <c r="C10" t="s">
        <v>1761</v>
      </c>
      <c r="D10" t="s">
        <v>1762</v>
      </c>
      <c r="E10" t="s">
        <v>1734</v>
      </c>
      <c r="F10" t="s">
        <v>1509</v>
      </c>
      <c r="G10" t="s">
        <v>1498</v>
      </c>
      <c r="H10" t="s">
        <v>1493</v>
      </c>
      <c r="I10" t="s">
        <v>1989</v>
      </c>
      <c r="J10">
        <v>2432</v>
      </c>
      <c r="K10" t="s">
        <v>686</v>
      </c>
    </row>
    <row r="11" spans="1:11" x14ac:dyDescent="0.35">
      <c r="A11">
        <v>1118026729</v>
      </c>
      <c r="B11" t="s">
        <v>18</v>
      </c>
      <c r="C11" t="s">
        <v>1740</v>
      </c>
      <c r="D11" t="s">
        <v>1501</v>
      </c>
      <c r="E11" t="s">
        <v>1734</v>
      </c>
      <c r="F11" t="s">
        <v>1500</v>
      </c>
      <c r="G11" t="s">
        <v>1498</v>
      </c>
      <c r="H11" t="s">
        <v>1493</v>
      </c>
      <c r="I11" t="s">
        <v>1989</v>
      </c>
      <c r="J11">
        <v>2432</v>
      </c>
      <c r="K11" t="s">
        <v>686</v>
      </c>
    </row>
    <row r="12" spans="1:11" x14ac:dyDescent="0.35">
      <c r="A12">
        <v>1118026729</v>
      </c>
      <c r="B12" t="s">
        <v>18</v>
      </c>
      <c r="C12" t="s">
        <v>1773</v>
      </c>
      <c r="D12" t="s">
        <v>1918</v>
      </c>
      <c r="E12" t="s">
        <v>1734</v>
      </c>
      <c r="F12" t="s">
        <v>1774</v>
      </c>
      <c r="G12" t="s">
        <v>1498</v>
      </c>
      <c r="H12" t="s">
        <v>1493</v>
      </c>
      <c r="I12" t="s">
        <v>1989</v>
      </c>
      <c r="J12">
        <v>2432</v>
      </c>
      <c r="K12" t="s">
        <v>686</v>
      </c>
    </row>
    <row r="13" spans="1:11" x14ac:dyDescent="0.35">
      <c r="A13">
        <v>1118027261</v>
      </c>
      <c r="B13" t="s">
        <v>29</v>
      </c>
      <c r="C13" t="s">
        <v>1432</v>
      </c>
      <c r="D13" t="s">
        <v>1443</v>
      </c>
      <c r="E13" t="s">
        <v>1915</v>
      </c>
      <c r="F13" t="s">
        <v>1434</v>
      </c>
      <c r="G13" t="s">
        <v>1439</v>
      </c>
      <c r="H13" t="s">
        <v>1433</v>
      </c>
      <c r="I13" t="s">
        <v>1990</v>
      </c>
      <c r="J13">
        <v>5151</v>
      </c>
      <c r="K13" t="s">
        <v>1991</v>
      </c>
    </row>
    <row r="14" spans="1:11" x14ac:dyDescent="0.35">
      <c r="A14">
        <v>1118027276</v>
      </c>
      <c r="B14" t="s">
        <v>375</v>
      </c>
      <c r="C14" t="s">
        <v>1919</v>
      </c>
      <c r="D14" t="s">
        <v>1623</v>
      </c>
      <c r="E14" t="s">
        <v>1915</v>
      </c>
      <c r="F14" t="s">
        <v>1445</v>
      </c>
      <c r="G14" t="s">
        <v>1439</v>
      </c>
      <c r="H14" t="s">
        <v>1433</v>
      </c>
      <c r="I14" t="s">
        <v>1992</v>
      </c>
      <c r="J14">
        <v>7411</v>
      </c>
      <c r="K14" t="s">
        <v>701</v>
      </c>
    </row>
    <row r="15" spans="1:11" x14ac:dyDescent="0.35">
      <c r="A15">
        <v>1118027276</v>
      </c>
      <c r="B15" t="s">
        <v>375</v>
      </c>
      <c r="C15" t="s">
        <v>1920</v>
      </c>
      <c r="D15" t="s">
        <v>1623</v>
      </c>
      <c r="E15" t="s">
        <v>1915</v>
      </c>
      <c r="F15" t="s">
        <v>1445</v>
      </c>
      <c r="G15" t="s">
        <v>1439</v>
      </c>
      <c r="H15" t="s">
        <v>1433</v>
      </c>
      <c r="I15" t="s">
        <v>1992</v>
      </c>
      <c r="J15">
        <v>7411</v>
      </c>
      <c r="K15" t="s">
        <v>701</v>
      </c>
    </row>
    <row r="16" spans="1:11" x14ac:dyDescent="0.35">
      <c r="A16">
        <v>1118027276</v>
      </c>
      <c r="B16" t="s">
        <v>375</v>
      </c>
      <c r="C16" t="s">
        <v>1499</v>
      </c>
      <c r="D16" t="s">
        <v>1501</v>
      </c>
      <c r="E16" t="s">
        <v>1734</v>
      </c>
      <c r="F16" t="s">
        <v>1500</v>
      </c>
      <c r="G16" t="s">
        <v>1498</v>
      </c>
      <c r="H16" t="s">
        <v>1493</v>
      </c>
      <c r="I16" t="s">
        <v>1992</v>
      </c>
      <c r="J16">
        <v>7411</v>
      </c>
      <c r="K16" t="s">
        <v>701</v>
      </c>
    </row>
    <row r="17" spans="1:11" x14ac:dyDescent="0.35">
      <c r="A17">
        <v>1118027276</v>
      </c>
      <c r="B17" t="s">
        <v>375</v>
      </c>
      <c r="C17" t="s">
        <v>1779</v>
      </c>
      <c r="D17" t="s">
        <v>1918</v>
      </c>
      <c r="E17" t="s">
        <v>1734</v>
      </c>
      <c r="F17" t="s">
        <v>1774</v>
      </c>
      <c r="G17" t="s">
        <v>1498</v>
      </c>
      <c r="H17" t="s">
        <v>1493</v>
      </c>
      <c r="I17" t="s">
        <v>1992</v>
      </c>
      <c r="J17">
        <v>7411</v>
      </c>
      <c r="K17" t="s">
        <v>701</v>
      </c>
    </row>
    <row r="18" spans="1:11" x14ac:dyDescent="0.35">
      <c r="A18">
        <v>1118027662</v>
      </c>
      <c r="B18" t="s">
        <v>41</v>
      </c>
      <c r="C18" t="s">
        <v>1532</v>
      </c>
      <c r="D18" t="s">
        <v>1530</v>
      </c>
      <c r="E18" t="s">
        <v>1834</v>
      </c>
      <c r="F18" t="s">
        <v>1921</v>
      </c>
      <c r="G18" t="s">
        <v>1498</v>
      </c>
      <c r="H18" t="s">
        <v>1922</v>
      </c>
      <c r="I18" t="s">
        <v>703</v>
      </c>
      <c r="J18">
        <v>2262</v>
      </c>
      <c r="K18" t="s">
        <v>706</v>
      </c>
    </row>
    <row r="19" spans="1:11" x14ac:dyDescent="0.35">
      <c r="A19">
        <v>1118027662</v>
      </c>
      <c r="B19" t="s">
        <v>41</v>
      </c>
      <c r="C19" t="s">
        <v>1848</v>
      </c>
      <c r="D19" t="s">
        <v>1844</v>
      </c>
      <c r="E19" t="s">
        <v>1834</v>
      </c>
      <c r="F19" t="s">
        <v>1923</v>
      </c>
      <c r="G19" t="s">
        <v>1498</v>
      </c>
      <c r="H19" t="s">
        <v>1922</v>
      </c>
      <c r="I19" t="s">
        <v>703</v>
      </c>
      <c r="J19">
        <v>2262</v>
      </c>
      <c r="K19" t="s">
        <v>706</v>
      </c>
    </row>
    <row r="20" spans="1:11" x14ac:dyDescent="0.35">
      <c r="A20">
        <v>1118027834</v>
      </c>
      <c r="B20" t="s">
        <v>47</v>
      </c>
      <c r="C20" t="s">
        <v>1615</v>
      </c>
      <c r="D20" t="s">
        <v>1617</v>
      </c>
      <c r="E20" t="s">
        <v>1915</v>
      </c>
      <c r="F20" t="s">
        <v>1616</v>
      </c>
      <c r="G20" t="s">
        <v>1439</v>
      </c>
      <c r="H20" t="s">
        <v>1433</v>
      </c>
      <c r="I20" t="s">
        <v>709</v>
      </c>
      <c r="J20">
        <v>5223</v>
      </c>
      <c r="K20" t="s">
        <v>679</v>
      </c>
    </row>
    <row r="21" spans="1:11" x14ac:dyDescent="0.35">
      <c r="A21">
        <v>1118027834</v>
      </c>
      <c r="B21" t="s">
        <v>47</v>
      </c>
      <c r="C21" t="s">
        <v>1924</v>
      </c>
      <c r="D21" t="s">
        <v>1623</v>
      </c>
      <c r="E21" t="s">
        <v>1915</v>
      </c>
      <c r="F21" t="s">
        <v>1445</v>
      </c>
      <c r="G21" t="s">
        <v>1439</v>
      </c>
      <c r="H21" t="s">
        <v>1433</v>
      </c>
      <c r="I21" t="s">
        <v>709</v>
      </c>
      <c r="J21">
        <v>5223</v>
      </c>
      <c r="K21" t="s">
        <v>679</v>
      </c>
    </row>
    <row r="22" spans="1:11" x14ac:dyDescent="0.35">
      <c r="A22">
        <v>1118027834</v>
      </c>
      <c r="B22" t="s">
        <v>47</v>
      </c>
      <c r="C22" t="s">
        <v>1499</v>
      </c>
      <c r="D22" t="s">
        <v>1501</v>
      </c>
      <c r="E22" t="s">
        <v>1734</v>
      </c>
      <c r="F22" t="s">
        <v>1500</v>
      </c>
      <c r="G22" t="s">
        <v>1498</v>
      </c>
      <c r="H22" t="s">
        <v>1493</v>
      </c>
      <c r="I22" t="s">
        <v>709</v>
      </c>
      <c r="J22">
        <v>5223</v>
      </c>
      <c r="K22" t="s">
        <v>679</v>
      </c>
    </row>
    <row r="23" spans="1:11" x14ac:dyDescent="0.35">
      <c r="A23">
        <v>1118027834</v>
      </c>
      <c r="B23" t="s">
        <v>47</v>
      </c>
      <c r="C23" t="s">
        <v>1504</v>
      </c>
      <c r="D23" t="s">
        <v>1925</v>
      </c>
      <c r="E23" t="s">
        <v>1734</v>
      </c>
      <c r="F23" t="s">
        <v>1748</v>
      </c>
      <c r="G23" t="s">
        <v>1498</v>
      </c>
      <c r="H23" t="s">
        <v>1493</v>
      </c>
      <c r="I23" t="s">
        <v>709</v>
      </c>
      <c r="J23">
        <v>5223</v>
      </c>
      <c r="K23" t="s">
        <v>679</v>
      </c>
    </row>
    <row r="24" spans="1:11" x14ac:dyDescent="0.35">
      <c r="A24">
        <v>1118027834</v>
      </c>
      <c r="B24" t="s">
        <v>47</v>
      </c>
      <c r="C24" t="s">
        <v>1521</v>
      </c>
      <c r="D24" t="s">
        <v>1523</v>
      </c>
      <c r="E24" t="s">
        <v>1734</v>
      </c>
      <c r="F24" t="s">
        <v>1522</v>
      </c>
      <c r="G24" t="s">
        <v>1498</v>
      </c>
      <c r="H24" t="s">
        <v>1493</v>
      </c>
      <c r="I24" t="s">
        <v>709</v>
      </c>
      <c r="J24">
        <v>5223</v>
      </c>
      <c r="K24" t="s">
        <v>679</v>
      </c>
    </row>
    <row r="25" spans="1:11" x14ac:dyDescent="0.35">
      <c r="A25">
        <v>1118027834</v>
      </c>
      <c r="B25" t="s">
        <v>47</v>
      </c>
      <c r="C25" t="s">
        <v>1926</v>
      </c>
      <c r="D25" t="s">
        <v>1927</v>
      </c>
      <c r="E25" t="s">
        <v>1570</v>
      </c>
      <c r="F25" t="s">
        <v>1567</v>
      </c>
      <c r="G25" t="s">
        <v>1439</v>
      </c>
      <c r="H25" t="s">
        <v>1928</v>
      </c>
      <c r="I25" t="s">
        <v>709</v>
      </c>
      <c r="J25">
        <v>5223</v>
      </c>
      <c r="K25" t="s">
        <v>679</v>
      </c>
    </row>
    <row r="26" spans="1:11" x14ac:dyDescent="0.35">
      <c r="A26">
        <v>1118027834</v>
      </c>
      <c r="B26" t="s">
        <v>47</v>
      </c>
      <c r="C26" t="s">
        <v>1705</v>
      </c>
      <c r="D26" t="s">
        <v>1927</v>
      </c>
      <c r="E26" t="s">
        <v>1570</v>
      </c>
      <c r="F26" t="s">
        <v>1567</v>
      </c>
      <c r="G26" t="s">
        <v>1439</v>
      </c>
      <c r="H26" t="s">
        <v>1928</v>
      </c>
      <c r="I26" t="s">
        <v>709</v>
      </c>
      <c r="J26">
        <v>5223</v>
      </c>
      <c r="K26" t="s">
        <v>679</v>
      </c>
    </row>
    <row r="27" spans="1:11" x14ac:dyDescent="0.35">
      <c r="A27">
        <v>1118027834</v>
      </c>
      <c r="B27" t="s">
        <v>47</v>
      </c>
      <c r="C27" t="s">
        <v>1572</v>
      </c>
      <c r="D27" t="s">
        <v>1574</v>
      </c>
      <c r="E27" t="s">
        <v>1915</v>
      </c>
      <c r="F27" t="s">
        <v>1460</v>
      </c>
      <c r="G27" t="s">
        <v>1439</v>
      </c>
      <c r="H27" t="s">
        <v>1433</v>
      </c>
      <c r="I27" t="s">
        <v>709</v>
      </c>
      <c r="J27">
        <v>5223</v>
      </c>
      <c r="K27" t="s">
        <v>679</v>
      </c>
    </row>
    <row r="28" spans="1:11" x14ac:dyDescent="0.35">
      <c r="A28">
        <v>1118027941</v>
      </c>
      <c r="B28" t="s">
        <v>53</v>
      </c>
      <c r="C28" t="s">
        <v>1929</v>
      </c>
      <c r="D28" t="s">
        <v>1449</v>
      </c>
      <c r="E28" t="s">
        <v>1915</v>
      </c>
      <c r="F28" t="s">
        <v>1448</v>
      </c>
      <c r="G28" t="s">
        <v>1439</v>
      </c>
      <c r="H28" t="s">
        <v>1433</v>
      </c>
      <c r="I28" t="s">
        <v>1993</v>
      </c>
      <c r="J28">
        <v>3313</v>
      </c>
      <c r="K28" t="s">
        <v>715</v>
      </c>
    </row>
    <row r="29" spans="1:11" x14ac:dyDescent="0.35">
      <c r="A29">
        <v>1118027941</v>
      </c>
      <c r="B29" t="s">
        <v>53</v>
      </c>
      <c r="C29" t="s">
        <v>1930</v>
      </c>
      <c r="D29" t="s">
        <v>1449</v>
      </c>
      <c r="E29" t="s">
        <v>1915</v>
      </c>
      <c r="F29" t="s">
        <v>1448</v>
      </c>
      <c r="G29" t="s">
        <v>1439</v>
      </c>
      <c r="H29" t="s">
        <v>1433</v>
      </c>
      <c r="I29" t="s">
        <v>1993</v>
      </c>
      <c r="J29">
        <v>3313</v>
      </c>
      <c r="K29" t="s">
        <v>715</v>
      </c>
    </row>
    <row r="30" spans="1:11" x14ac:dyDescent="0.35">
      <c r="A30">
        <v>1118027941</v>
      </c>
      <c r="B30" t="s">
        <v>53</v>
      </c>
      <c r="C30" t="s">
        <v>1929</v>
      </c>
      <c r="D30" t="s">
        <v>1449</v>
      </c>
      <c r="E30" t="s">
        <v>1915</v>
      </c>
      <c r="F30" t="s">
        <v>1448</v>
      </c>
      <c r="G30" t="s">
        <v>1439</v>
      </c>
      <c r="H30" t="s">
        <v>1433</v>
      </c>
      <c r="I30" t="s">
        <v>1993</v>
      </c>
      <c r="J30">
        <v>3313</v>
      </c>
      <c r="K30" t="s">
        <v>715</v>
      </c>
    </row>
    <row r="31" spans="1:11" x14ac:dyDescent="0.35">
      <c r="A31">
        <v>1118027941</v>
      </c>
      <c r="B31" t="s">
        <v>53</v>
      </c>
      <c r="C31" t="s">
        <v>1930</v>
      </c>
      <c r="D31" t="s">
        <v>1449</v>
      </c>
      <c r="E31" t="s">
        <v>1915</v>
      </c>
      <c r="F31" t="s">
        <v>1448</v>
      </c>
      <c r="G31" t="s">
        <v>1439</v>
      </c>
      <c r="H31" t="s">
        <v>1433</v>
      </c>
      <c r="I31" t="s">
        <v>1993</v>
      </c>
      <c r="J31">
        <v>3313</v>
      </c>
      <c r="K31" t="s">
        <v>715</v>
      </c>
    </row>
    <row r="32" spans="1:11" x14ac:dyDescent="0.35">
      <c r="A32">
        <v>1118028038</v>
      </c>
      <c r="B32" t="s">
        <v>65</v>
      </c>
      <c r="C32" t="s">
        <v>1931</v>
      </c>
      <c r="D32" t="s">
        <v>1443</v>
      </c>
      <c r="E32" t="s">
        <v>1915</v>
      </c>
      <c r="F32" t="s">
        <v>1434</v>
      </c>
      <c r="G32" t="s">
        <v>1439</v>
      </c>
      <c r="H32" t="s">
        <v>1433</v>
      </c>
      <c r="I32" t="s">
        <v>722</v>
      </c>
      <c r="J32">
        <v>3322</v>
      </c>
      <c r="K32" t="s">
        <v>725</v>
      </c>
    </row>
    <row r="33" spans="1:11" x14ac:dyDescent="0.35">
      <c r="A33">
        <v>1118028038</v>
      </c>
      <c r="B33" t="s">
        <v>65</v>
      </c>
      <c r="C33" t="s">
        <v>1492</v>
      </c>
      <c r="D33" t="s">
        <v>1495</v>
      </c>
      <c r="E33" t="s">
        <v>1734</v>
      </c>
      <c r="F33" t="s">
        <v>1494</v>
      </c>
      <c r="G33" t="s">
        <v>1498</v>
      </c>
      <c r="H33" t="s">
        <v>1493</v>
      </c>
      <c r="I33" t="s">
        <v>722</v>
      </c>
      <c r="J33">
        <v>3322</v>
      </c>
      <c r="K33" t="s">
        <v>725</v>
      </c>
    </row>
    <row r="34" spans="1:11" x14ac:dyDescent="0.35">
      <c r="A34">
        <v>1118028038</v>
      </c>
      <c r="B34" t="s">
        <v>65</v>
      </c>
      <c r="C34" t="s">
        <v>1739</v>
      </c>
      <c r="D34" t="s">
        <v>1501</v>
      </c>
      <c r="E34" t="s">
        <v>1734</v>
      </c>
      <c r="F34" t="s">
        <v>1500</v>
      </c>
      <c r="G34" t="s">
        <v>1498</v>
      </c>
      <c r="H34" t="s">
        <v>1493</v>
      </c>
      <c r="I34" t="s">
        <v>722</v>
      </c>
      <c r="J34">
        <v>3322</v>
      </c>
      <c r="K34" t="s">
        <v>725</v>
      </c>
    </row>
    <row r="35" spans="1:11" x14ac:dyDescent="0.35">
      <c r="A35">
        <v>1118028038</v>
      </c>
      <c r="B35" t="s">
        <v>65</v>
      </c>
      <c r="C35" t="s">
        <v>1932</v>
      </c>
      <c r="D35" t="s">
        <v>1482</v>
      </c>
      <c r="E35" t="s">
        <v>1915</v>
      </c>
      <c r="F35" t="s">
        <v>1481</v>
      </c>
      <c r="G35" t="s">
        <v>1439</v>
      </c>
      <c r="H35" t="s">
        <v>1433</v>
      </c>
      <c r="I35" t="s">
        <v>722</v>
      </c>
      <c r="J35">
        <v>3322</v>
      </c>
      <c r="K35" t="s">
        <v>725</v>
      </c>
    </row>
    <row r="36" spans="1:11" x14ac:dyDescent="0.35">
      <c r="A36">
        <v>1118028201</v>
      </c>
      <c r="B36" t="s">
        <v>1933</v>
      </c>
      <c r="C36" t="s">
        <v>1934</v>
      </c>
      <c r="D36" t="s">
        <v>1935</v>
      </c>
      <c r="E36" t="s">
        <v>1649</v>
      </c>
      <c r="F36" t="s">
        <v>1583</v>
      </c>
      <c r="G36" t="s">
        <v>1498</v>
      </c>
      <c r="H36" t="s">
        <v>1917</v>
      </c>
      <c r="I36" t="s">
        <v>1994</v>
      </c>
      <c r="J36">
        <v>8160</v>
      </c>
      <c r="K36" t="s">
        <v>1995</v>
      </c>
    </row>
    <row r="37" spans="1:11" x14ac:dyDescent="0.35">
      <c r="A37">
        <v>1118028376</v>
      </c>
      <c r="B37" t="s">
        <v>77</v>
      </c>
      <c r="C37" t="s">
        <v>1936</v>
      </c>
      <c r="D37" t="s">
        <v>1937</v>
      </c>
      <c r="E37" t="s">
        <v>1915</v>
      </c>
      <c r="F37" t="s">
        <v>1434</v>
      </c>
      <c r="G37" t="s">
        <v>1439</v>
      </c>
      <c r="H37" t="s">
        <v>1433</v>
      </c>
      <c r="I37" t="s">
        <v>1996</v>
      </c>
      <c r="J37">
        <v>4312</v>
      </c>
      <c r="K37" t="s">
        <v>735</v>
      </c>
    </row>
    <row r="38" spans="1:11" x14ac:dyDescent="0.35">
      <c r="A38">
        <v>1118028376</v>
      </c>
      <c r="B38" t="s">
        <v>77</v>
      </c>
      <c r="C38" t="s">
        <v>1931</v>
      </c>
      <c r="D38" t="s">
        <v>1443</v>
      </c>
      <c r="E38" t="s">
        <v>1915</v>
      </c>
      <c r="F38" t="s">
        <v>1434</v>
      </c>
      <c r="G38" t="s">
        <v>1439</v>
      </c>
      <c r="H38" t="s">
        <v>1433</v>
      </c>
      <c r="I38" t="s">
        <v>1996</v>
      </c>
      <c r="J38">
        <v>4312</v>
      </c>
      <c r="K38" t="s">
        <v>735</v>
      </c>
    </row>
    <row r="39" spans="1:11" x14ac:dyDescent="0.35">
      <c r="A39">
        <v>1118028681</v>
      </c>
      <c r="B39" t="s">
        <v>88</v>
      </c>
      <c r="C39" t="s">
        <v>1938</v>
      </c>
      <c r="D39" t="s">
        <v>1443</v>
      </c>
      <c r="E39" t="s">
        <v>1915</v>
      </c>
      <c r="F39" t="s">
        <v>1434</v>
      </c>
      <c r="G39" t="s">
        <v>1439</v>
      </c>
      <c r="H39" t="s">
        <v>1433</v>
      </c>
      <c r="I39" t="s">
        <v>741</v>
      </c>
      <c r="J39">
        <v>4110</v>
      </c>
      <c r="K39" t="s">
        <v>744</v>
      </c>
    </row>
    <row r="40" spans="1:11" x14ac:dyDescent="0.35">
      <c r="A40">
        <v>1118028828</v>
      </c>
      <c r="B40" t="s">
        <v>1939</v>
      </c>
      <c r="C40" t="s">
        <v>1940</v>
      </c>
      <c r="D40" t="s">
        <v>1941</v>
      </c>
      <c r="E40" t="s">
        <v>1915</v>
      </c>
      <c r="F40" t="s">
        <v>1587</v>
      </c>
      <c r="G40" t="s">
        <v>1439</v>
      </c>
      <c r="H40" t="s">
        <v>1433</v>
      </c>
      <c r="I40" t="s">
        <v>1997</v>
      </c>
      <c r="J40">
        <v>7222</v>
      </c>
      <c r="K40" t="s">
        <v>749</v>
      </c>
    </row>
    <row r="41" spans="1:11" x14ac:dyDescent="0.35">
      <c r="A41">
        <v>1118028828</v>
      </c>
      <c r="B41" t="s">
        <v>1939</v>
      </c>
      <c r="C41" t="s">
        <v>1492</v>
      </c>
      <c r="D41" t="s">
        <v>1495</v>
      </c>
      <c r="E41" t="s">
        <v>1734</v>
      </c>
      <c r="F41" t="s">
        <v>1494</v>
      </c>
      <c r="G41" t="s">
        <v>1498</v>
      </c>
      <c r="H41" t="s">
        <v>1493</v>
      </c>
      <c r="I41" t="s">
        <v>1997</v>
      </c>
      <c r="J41">
        <v>7222</v>
      </c>
      <c r="K41" t="s">
        <v>749</v>
      </c>
    </row>
    <row r="42" spans="1:11" x14ac:dyDescent="0.35">
      <c r="A42">
        <v>1118028833</v>
      </c>
      <c r="B42" t="s">
        <v>100</v>
      </c>
      <c r="C42" t="s">
        <v>1771</v>
      </c>
      <c r="D42" t="s">
        <v>1515</v>
      </c>
      <c r="E42" t="s">
        <v>1734</v>
      </c>
      <c r="F42" t="s">
        <v>1514</v>
      </c>
      <c r="G42" t="s">
        <v>1498</v>
      </c>
      <c r="H42" t="s">
        <v>1493</v>
      </c>
      <c r="I42" t="s">
        <v>722</v>
      </c>
      <c r="J42">
        <v>3322</v>
      </c>
      <c r="K42" t="s">
        <v>725</v>
      </c>
    </row>
    <row r="43" spans="1:11" x14ac:dyDescent="0.35">
      <c r="A43">
        <v>1118028833</v>
      </c>
      <c r="B43" t="s">
        <v>100</v>
      </c>
      <c r="C43" t="s">
        <v>1783</v>
      </c>
      <c r="D43" t="s">
        <v>1518</v>
      </c>
      <c r="E43" t="s">
        <v>1734</v>
      </c>
      <c r="F43" t="s">
        <v>1942</v>
      </c>
      <c r="G43" t="s">
        <v>1498</v>
      </c>
      <c r="H43" t="s">
        <v>1493</v>
      </c>
      <c r="I43" t="s">
        <v>722</v>
      </c>
      <c r="J43">
        <v>3322</v>
      </c>
      <c r="K43" t="s">
        <v>725</v>
      </c>
    </row>
    <row r="44" spans="1:11" x14ac:dyDescent="0.35">
      <c r="A44">
        <v>1118028833</v>
      </c>
      <c r="B44" t="s">
        <v>100</v>
      </c>
      <c r="C44" t="s">
        <v>1861</v>
      </c>
      <c r="D44" t="s">
        <v>1943</v>
      </c>
      <c r="E44" t="s">
        <v>1734</v>
      </c>
      <c r="F44" t="s">
        <v>1862</v>
      </c>
      <c r="G44" t="s">
        <v>1498</v>
      </c>
      <c r="H44" t="s">
        <v>1493</v>
      </c>
      <c r="I44" t="s">
        <v>722</v>
      </c>
      <c r="J44">
        <v>3322</v>
      </c>
      <c r="K44" t="s">
        <v>725</v>
      </c>
    </row>
    <row r="45" spans="1:11" x14ac:dyDescent="0.35">
      <c r="A45">
        <v>1118028833</v>
      </c>
      <c r="B45" t="s">
        <v>100</v>
      </c>
      <c r="C45" t="s">
        <v>1836</v>
      </c>
      <c r="D45" t="s">
        <v>1530</v>
      </c>
      <c r="E45" t="s">
        <v>1834</v>
      </c>
      <c r="F45" t="s">
        <v>1921</v>
      </c>
      <c r="G45" t="s">
        <v>1498</v>
      </c>
      <c r="H45" t="s">
        <v>1922</v>
      </c>
      <c r="I45" t="s">
        <v>722</v>
      </c>
      <c r="J45">
        <v>3322</v>
      </c>
      <c r="K45" t="s">
        <v>725</v>
      </c>
    </row>
    <row r="46" spans="1:11" x14ac:dyDescent="0.35">
      <c r="A46">
        <v>1118028833</v>
      </c>
      <c r="B46" t="s">
        <v>100</v>
      </c>
      <c r="C46" t="s">
        <v>1492</v>
      </c>
      <c r="D46" t="s">
        <v>1495</v>
      </c>
      <c r="E46" t="s">
        <v>1734</v>
      </c>
      <c r="F46" t="s">
        <v>1494</v>
      </c>
      <c r="G46" t="s">
        <v>1498</v>
      </c>
      <c r="H46" t="s">
        <v>1493</v>
      </c>
      <c r="I46" t="s">
        <v>722</v>
      </c>
      <c r="J46">
        <v>3322</v>
      </c>
      <c r="K46" t="s">
        <v>725</v>
      </c>
    </row>
    <row r="47" spans="1:11" x14ac:dyDescent="0.35">
      <c r="A47">
        <v>1118028887</v>
      </c>
      <c r="B47" t="s">
        <v>105</v>
      </c>
      <c r="C47" t="s">
        <v>1785</v>
      </c>
      <c r="D47" t="s">
        <v>1518</v>
      </c>
      <c r="E47" t="s">
        <v>1734</v>
      </c>
      <c r="F47" t="s">
        <v>1942</v>
      </c>
      <c r="G47" t="s">
        <v>1498</v>
      </c>
      <c r="H47" t="s">
        <v>1493</v>
      </c>
      <c r="I47" t="s">
        <v>752</v>
      </c>
      <c r="J47">
        <v>3333</v>
      </c>
      <c r="K47" t="s">
        <v>755</v>
      </c>
    </row>
    <row r="48" spans="1:11" x14ac:dyDescent="0.35">
      <c r="A48">
        <v>1118028887</v>
      </c>
      <c r="B48" t="s">
        <v>105</v>
      </c>
      <c r="C48" t="s">
        <v>1750</v>
      </c>
      <c r="D48" t="s">
        <v>1925</v>
      </c>
      <c r="E48" t="s">
        <v>1734</v>
      </c>
      <c r="F48" t="s">
        <v>1748</v>
      </c>
      <c r="G48" t="s">
        <v>1498</v>
      </c>
      <c r="H48" t="s">
        <v>1493</v>
      </c>
      <c r="I48" t="s">
        <v>752</v>
      </c>
      <c r="J48">
        <v>3333</v>
      </c>
      <c r="K48" t="s">
        <v>755</v>
      </c>
    </row>
    <row r="49" spans="1:11" x14ac:dyDescent="0.35">
      <c r="A49">
        <v>1118028891</v>
      </c>
      <c r="B49" t="s">
        <v>110</v>
      </c>
      <c r="C49" t="s">
        <v>1767</v>
      </c>
      <c r="D49" t="s">
        <v>1515</v>
      </c>
      <c r="E49" t="s">
        <v>1734</v>
      </c>
      <c r="F49" t="s">
        <v>1514</v>
      </c>
      <c r="G49" t="s">
        <v>1498</v>
      </c>
      <c r="H49" t="s">
        <v>1493</v>
      </c>
      <c r="I49" t="s">
        <v>757</v>
      </c>
      <c r="J49">
        <v>3313</v>
      </c>
      <c r="K49" t="s">
        <v>715</v>
      </c>
    </row>
    <row r="50" spans="1:11" x14ac:dyDescent="0.35">
      <c r="A50">
        <v>1118028891</v>
      </c>
      <c r="B50" t="s">
        <v>110</v>
      </c>
      <c r="C50" t="s">
        <v>1771</v>
      </c>
      <c r="D50" t="s">
        <v>1515</v>
      </c>
      <c r="E50" t="s">
        <v>1734</v>
      </c>
      <c r="F50" t="s">
        <v>1514</v>
      </c>
      <c r="G50" t="s">
        <v>1498</v>
      </c>
      <c r="H50" t="s">
        <v>1493</v>
      </c>
      <c r="I50" t="s">
        <v>757</v>
      </c>
      <c r="J50">
        <v>3313</v>
      </c>
      <c r="K50" t="s">
        <v>715</v>
      </c>
    </row>
    <row r="51" spans="1:11" x14ac:dyDescent="0.35">
      <c r="A51">
        <v>2162667</v>
      </c>
      <c r="B51" t="s">
        <v>475</v>
      </c>
      <c r="C51" t="s">
        <v>1759</v>
      </c>
      <c r="D51" t="s">
        <v>1510</v>
      </c>
      <c r="E51" t="s">
        <v>1734</v>
      </c>
      <c r="F51" t="s">
        <v>1509</v>
      </c>
      <c r="G51" t="s">
        <v>1498</v>
      </c>
      <c r="H51" t="s">
        <v>1493</v>
      </c>
      <c r="I51" t="s">
        <v>760</v>
      </c>
      <c r="J51">
        <v>3121</v>
      </c>
      <c r="K51" t="s">
        <v>763</v>
      </c>
    </row>
    <row r="52" spans="1:11" x14ac:dyDescent="0.35">
      <c r="A52">
        <v>1118022146</v>
      </c>
      <c r="B52" t="s">
        <v>123</v>
      </c>
      <c r="C52" t="s">
        <v>1944</v>
      </c>
      <c r="D52" t="s">
        <v>1945</v>
      </c>
      <c r="E52" t="s">
        <v>1915</v>
      </c>
      <c r="F52" t="s">
        <v>1460</v>
      </c>
      <c r="G52" t="s">
        <v>1439</v>
      </c>
      <c r="H52" t="s">
        <v>1433</v>
      </c>
      <c r="I52" t="s">
        <v>1998</v>
      </c>
      <c r="J52">
        <v>2432</v>
      </c>
      <c r="K52" t="s">
        <v>686</v>
      </c>
    </row>
    <row r="53" spans="1:11" x14ac:dyDescent="0.35">
      <c r="A53">
        <v>1118022146</v>
      </c>
      <c r="B53" t="s">
        <v>123</v>
      </c>
      <c r="C53" t="s">
        <v>1946</v>
      </c>
      <c r="D53" t="s">
        <v>1947</v>
      </c>
      <c r="E53" t="s">
        <v>1915</v>
      </c>
      <c r="F53" t="s">
        <v>1460</v>
      </c>
      <c r="G53" t="s">
        <v>1439</v>
      </c>
      <c r="H53" t="s">
        <v>1433</v>
      </c>
      <c r="I53" t="s">
        <v>1998</v>
      </c>
      <c r="J53">
        <v>2432</v>
      </c>
      <c r="K53" t="s">
        <v>686</v>
      </c>
    </row>
    <row r="54" spans="1:11" x14ac:dyDescent="0.35">
      <c r="A54">
        <v>1118022146</v>
      </c>
      <c r="B54" t="s">
        <v>123</v>
      </c>
      <c r="C54" t="s">
        <v>1948</v>
      </c>
      <c r="D54" t="s">
        <v>1947</v>
      </c>
      <c r="E54" t="s">
        <v>1915</v>
      </c>
      <c r="F54" t="s">
        <v>1460</v>
      </c>
      <c r="G54" t="s">
        <v>1439</v>
      </c>
      <c r="H54" t="s">
        <v>1433</v>
      </c>
      <c r="I54" t="s">
        <v>1998</v>
      </c>
      <c r="J54">
        <v>2432</v>
      </c>
      <c r="K54" t="s">
        <v>686</v>
      </c>
    </row>
    <row r="55" spans="1:11" x14ac:dyDescent="0.35">
      <c r="A55">
        <v>1118022146</v>
      </c>
      <c r="B55" t="s">
        <v>123</v>
      </c>
      <c r="C55" t="s">
        <v>1525</v>
      </c>
      <c r="D55" t="s">
        <v>1526</v>
      </c>
      <c r="E55" t="s">
        <v>1734</v>
      </c>
      <c r="F55" t="s">
        <v>1825</v>
      </c>
      <c r="G55" t="s">
        <v>1498</v>
      </c>
      <c r="H55" t="s">
        <v>1493</v>
      </c>
      <c r="I55" t="s">
        <v>1998</v>
      </c>
      <c r="J55">
        <v>2432</v>
      </c>
      <c r="K55" t="s">
        <v>686</v>
      </c>
    </row>
    <row r="56" spans="1:11" x14ac:dyDescent="0.35">
      <c r="A56">
        <v>1118022146</v>
      </c>
      <c r="B56" t="s">
        <v>123</v>
      </c>
      <c r="C56" t="s">
        <v>1829</v>
      </c>
      <c r="D56" t="s">
        <v>1796</v>
      </c>
      <c r="E56" t="s">
        <v>1734</v>
      </c>
      <c r="F56" t="s">
        <v>1949</v>
      </c>
      <c r="G56" t="s">
        <v>1498</v>
      </c>
      <c r="H56" t="s">
        <v>1493</v>
      </c>
      <c r="I56" t="s">
        <v>1998</v>
      </c>
      <c r="J56">
        <v>2432</v>
      </c>
      <c r="K56" t="s">
        <v>686</v>
      </c>
    </row>
    <row r="57" spans="1:11" x14ac:dyDescent="0.35">
      <c r="A57">
        <v>1118022146</v>
      </c>
      <c r="B57" t="s">
        <v>123</v>
      </c>
      <c r="C57" t="s">
        <v>1513</v>
      </c>
      <c r="D57" t="s">
        <v>1515</v>
      </c>
      <c r="E57" t="s">
        <v>1734</v>
      </c>
      <c r="F57" t="s">
        <v>1514</v>
      </c>
      <c r="G57" t="s">
        <v>1498</v>
      </c>
      <c r="H57" t="s">
        <v>1493</v>
      </c>
      <c r="I57" t="s">
        <v>1998</v>
      </c>
      <c r="J57">
        <v>2432</v>
      </c>
      <c r="K57" t="s">
        <v>686</v>
      </c>
    </row>
    <row r="58" spans="1:11" x14ac:dyDescent="0.35">
      <c r="A58">
        <v>1118022146</v>
      </c>
      <c r="B58" t="s">
        <v>123</v>
      </c>
      <c r="C58" t="s">
        <v>1950</v>
      </c>
      <c r="D58" t="s">
        <v>1695</v>
      </c>
      <c r="E58" t="s">
        <v>1915</v>
      </c>
      <c r="F58" t="s">
        <v>1489</v>
      </c>
      <c r="G58" t="s">
        <v>1439</v>
      </c>
      <c r="H58" t="s">
        <v>1433</v>
      </c>
      <c r="I58" t="s">
        <v>1998</v>
      </c>
      <c r="J58">
        <v>2432</v>
      </c>
      <c r="K58" t="s">
        <v>686</v>
      </c>
    </row>
    <row r="59" spans="1:11" x14ac:dyDescent="0.35">
      <c r="A59">
        <v>1118022146</v>
      </c>
      <c r="B59" t="s">
        <v>123</v>
      </c>
      <c r="C59" t="s">
        <v>1951</v>
      </c>
      <c r="D59" t="s">
        <v>1695</v>
      </c>
      <c r="E59" t="s">
        <v>1915</v>
      </c>
      <c r="F59" t="s">
        <v>1489</v>
      </c>
      <c r="G59" t="s">
        <v>1439</v>
      </c>
      <c r="H59" t="s">
        <v>1433</v>
      </c>
      <c r="I59" t="s">
        <v>1998</v>
      </c>
      <c r="J59">
        <v>2432</v>
      </c>
      <c r="K59" t="s">
        <v>686</v>
      </c>
    </row>
    <row r="60" spans="1:11" x14ac:dyDescent="0.35">
      <c r="A60">
        <v>1118022146</v>
      </c>
      <c r="B60" t="s">
        <v>123</v>
      </c>
      <c r="C60" t="s">
        <v>1952</v>
      </c>
      <c r="D60" t="s">
        <v>1695</v>
      </c>
      <c r="E60" t="s">
        <v>1915</v>
      </c>
      <c r="F60" t="s">
        <v>1489</v>
      </c>
      <c r="G60" t="s">
        <v>1439</v>
      </c>
      <c r="H60" t="s">
        <v>1433</v>
      </c>
      <c r="I60" t="s">
        <v>1998</v>
      </c>
      <c r="J60">
        <v>2432</v>
      </c>
      <c r="K60" t="s">
        <v>686</v>
      </c>
    </row>
    <row r="61" spans="1:11" x14ac:dyDescent="0.35">
      <c r="A61">
        <v>1118022146</v>
      </c>
      <c r="B61" t="s">
        <v>123</v>
      </c>
      <c r="C61" t="s">
        <v>1953</v>
      </c>
      <c r="D61" t="s">
        <v>1954</v>
      </c>
      <c r="E61" t="s">
        <v>1915</v>
      </c>
      <c r="F61" t="s">
        <v>1577</v>
      </c>
      <c r="G61" t="s">
        <v>1439</v>
      </c>
      <c r="H61" t="s">
        <v>1433</v>
      </c>
      <c r="I61" t="s">
        <v>1998</v>
      </c>
      <c r="J61">
        <v>2432</v>
      </c>
      <c r="K61" t="s">
        <v>686</v>
      </c>
    </row>
    <row r="62" spans="1:11" x14ac:dyDescent="0.35">
      <c r="A62">
        <v>1118025212</v>
      </c>
      <c r="B62" t="s">
        <v>129</v>
      </c>
      <c r="C62" t="s">
        <v>1838</v>
      </c>
      <c r="D62" t="s">
        <v>1839</v>
      </c>
      <c r="E62" t="s">
        <v>1834</v>
      </c>
      <c r="F62" t="s">
        <v>1921</v>
      </c>
      <c r="G62" t="s">
        <v>1498</v>
      </c>
      <c r="H62" t="s">
        <v>1922</v>
      </c>
      <c r="I62" t="s">
        <v>1999</v>
      </c>
      <c r="J62">
        <v>2433</v>
      </c>
      <c r="K62" t="s">
        <v>2000</v>
      </c>
    </row>
    <row r="63" spans="1:11" x14ac:dyDescent="0.35">
      <c r="A63">
        <v>1118025212</v>
      </c>
      <c r="B63" t="s">
        <v>129</v>
      </c>
      <c r="C63" t="s">
        <v>1518</v>
      </c>
      <c r="D63" t="s">
        <v>1518</v>
      </c>
      <c r="E63" t="s">
        <v>1734</v>
      </c>
      <c r="F63" t="s">
        <v>1942</v>
      </c>
      <c r="G63" t="s">
        <v>1498</v>
      </c>
      <c r="H63" t="s">
        <v>1493</v>
      </c>
      <c r="I63" t="s">
        <v>1999</v>
      </c>
      <c r="J63">
        <v>2433</v>
      </c>
      <c r="K63" t="s">
        <v>2000</v>
      </c>
    </row>
    <row r="64" spans="1:11" x14ac:dyDescent="0.35">
      <c r="A64">
        <v>1117984105</v>
      </c>
      <c r="B64" t="s">
        <v>503</v>
      </c>
      <c r="C64" t="s">
        <v>1765</v>
      </c>
      <c r="D64" t="s">
        <v>1762</v>
      </c>
      <c r="E64" t="s">
        <v>1734</v>
      </c>
      <c r="F64" t="s">
        <v>1509</v>
      </c>
      <c r="G64" t="s">
        <v>1498</v>
      </c>
      <c r="H64" t="s">
        <v>1493</v>
      </c>
      <c r="I64" t="s">
        <v>1999</v>
      </c>
      <c r="J64">
        <v>2433</v>
      </c>
      <c r="K64" t="s">
        <v>2000</v>
      </c>
    </row>
    <row r="65" spans="1:11" x14ac:dyDescent="0.35">
      <c r="A65">
        <v>1117984105</v>
      </c>
      <c r="B65" t="s">
        <v>503</v>
      </c>
      <c r="C65" t="s">
        <v>1769</v>
      </c>
      <c r="D65" t="s">
        <v>1515</v>
      </c>
      <c r="E65" t="s">
        <v>1734</v>
      </c>
      <c r="F65" t="s">
        <v>1514</v>
      </c>
      <c r="G65" t="s">
        <v>1498</v>
      </c>
      <c r="H65" t="s">
        <v>1493</v>
      </c>
      <c r="I65" t="s">
        <v>1999</v>
      </c>
      <c r="J65">
        <v>2433</v>
      </c>
      <c r="K65" t="s">
        <v>2000</v>
      </c>
    </row>
    <row r="66" spans="1:11" x14ac:dyDescent="0.35">
      <c r="A66">
        <v>1117960588</v>
      </c>
      <c r="B66" t="s">
        <v>142</v>
      </c>
      <c r="C66" t="s">
        <v>1955</v>
      </c>
      <c r="D66" t="s">
        <v>1443</v>
      </c>
      <c r="E66" t="s">
        <v>1915</v>
      </c>
      <c r="F66" t="s">
        <v>1434</v>
      </c>
      <c r="G66" t="s">
        <v>1439</v>
      </c>
      <c r="H66" t="s">
        <v>1433</v>
      </c>
      <c r="I66" t="s">
        <v>775</v>
      </c>
      <c r="J66">
        <v>3343</v>
      </c>
      <c r="K66" t="s">
        <v>778</v>
      </c>
    </row>
    <row r="67" spans="1:11" x14ac:dyDescent="0.35">
      <c r="A67">
        <v>1117960588</v>
      </c>
      <c r="B67" t="s">
        <v>142</v>
      </c>
      <c r="C67" t="s">
        <v>1614</v>
      </c>
      <c r="D67" t="s">
        <v>1937</v>
      </c>
      <c r="E67" t="s">
        <v>1915</v>
      </c>
      <c r="F67" t="s">
        <v>1434</v>
      </c>
      <c r="G67" t="s">
        <v>1439</v>
      </c>
      <c r="H67" t="s">
        <v>1433</v>
      </c>
      <c r="I67" t="s">
        <v>775</v>
      </c>
      <c r="J67">
        <v>3343</v>
      </c>
      <c r="K67" t="s">
        <v>778</v>
      </c>
    </row>
    <row r="68" spans="1:11" x14ac:dyDescent="0.35">
      <c r="A68">
        <v>1117960588</v>
      </c>
      <c r="B68" t="s">
        <v>142</v>
      </c>
      <c r="C68" t="s">
        <v>1441</v>
      </c>
      <c r="D68" t="s">
        <v>1937</v>
      </c>
      <c r="E68" t="s">
        <v>1915</v>
      </c>
      <c r="F68" t="s">
        <v>1434</v>
      </c>
      <c r="G68" t="s">
        <v>1439</v>
      </c>
      <c r="H68" t="s">
        <v>1433</v>
      </c>
      <c r="I68" t="s">
        <v>775</v>
      </c>
      <c r="J68">
        <v>3343</v>
      </c>
      <c r="K68" t="s">
        <v>778</v>
      </c>
    </row>
    <row r="69" spans="1:11" x14ac:dyDescent="0.35">
      <c r="A69">
        <v>1117960588</v>
      </c>
      <c r="B69" t="s">
        <v>142</v>
      </c>
      <c r="C69" t="s">
        <v>1741</v>
      </c>
      <c r="D69" t="s">
        <v>1501</v>
      </c>
      <c r="E69" t="s">
        <v>1734</v>
      </c>
      <c r="F69" t="s">
        <v>1500</v>
      </c>
      <c r="G69" t="s">
        <v>1498</v>
      </c>
      <c r="H69" t="s">
        <v>1493</v>
      </c>
      <c r="I69" t="s">
        <v>775</v>
      </c>
      <c r="J69">
        <v>3343</v>
      </c>
      <c r="K69" t="s">
        <v>778</v>
      </c>
    </row>
    <row r="70" spans="1:11" x14ac:dyDescent="0.35">
      <c r="A70">
        <v>1117960588</v>
      </c>
      <c r="B70" t="s">
        <v>142</v>
      </c>
      <c r="C70" t="s">
        <v>1528</v>
      </c>
      <c r="D70" t="s">
        <v>1530</v>
      </c>
      <c r="E70" t="s">
        <v>1834</v>
      </c>
      <c r="F70" t="s">
        <v>1921</v>
      </c>
      <c r="G70" t="s">
        <v>1498</v>
      </c>
      <c r="H70" t="s">
        <v>1922</v>
      </c>
      <c r="I70" t="s">
        <v>775</v>
      </c>
      <c r="J70">
        <v>3343</v>
      </c>
      <c r="K70" t="s">
        <v>778</v>
      </c>
    </row>
    <row r="71" spans="1:11" x14ac:dyDescent="0.35">
      <c r="A71">
        <v>1118000814</v>
      </c>
      <c r="B71" t="s">
        <v>152</v>
      </c>
      <c r="C71" t="s">
        <v>1956</v>
      </c>
      <c r="D71" t="s">
        <v>1937</v>
      </c>
      <c r="E71" t="s">
        <v>1915</v>
      </c>
      <c r="F71" t="s">
        <v>1434</v>
      </c>
      <c r="G71" t="s">
        <v>1439</v>
      </c>
      <c r="H71" t="s">
        <v>1433</v>
      </c>
      <c r="I71" t="s">
        <v>781</v>
      </c>
      <c r="J71">
        <v>3343</v>
      </c>
      <c r="K71" t="s">
        <v>778</v>
      </c>
    </row>
    <row r="72" spans="1:11" x14ac:dyDescent="0.35">
      <c r="A72">
        <v>1118000814</v>
      </c>
      <c r="B72" t="s">
        <v>152</v>
      </c>
      <c r="C72" t="s">
        <v>1770</v>
      </c>
      <c r="D72" t="s">
        <v>1515</v>
      </c>
      <c r="E72" t="s">
        <v>1734</v>
      </c>
      <c r="F72" t="s">
        <v>1514</v>
      </c>
      <c r="G72" t="s">
        <v>1498</v>
      </c>
      <c r="H72" t="s">
        <v>1493</v>
      </c>
      <c r="I72" t="s">
        <v>781</v>
      </c>
      <c r="J72">
        <v>3343</v>
      </c>
      <c r="K72" t="s">
        <v>778</v>
      </c>
    </row>
    <row r="73" spans="1:11" x14ac:dyDescent="0.35">
      <c r="A73">
        <v>1118000814</v>
      </c>
      <c r="B73" t="s">
        <v>152</v>
      </c>
      <c r="C73" t="s">
        <v>1795</v>
      </c>
      <c r="D73" t="s">
        <v>1796</v>
      </c>
      <c r="E73" t="s">
        <v>1734</v>
      </c>
      <c r="F73" t="s">
        <v>1790</v>
      </c>
      <c r="G73" t="s">
        <v>1498</v>
      </c>
      <c r="H73" t="s">
        <v>1493</v>
      </c>
      <c r="I73" t="s">
        <v>781</v>
      </c>
      <c r="J73">
        <v>3343</v>
      </c>
      <c r="K73" t="s">
        <v>778</v>
      </c>
    </row>
    <row r="74" spans="1:11" x14ac:dyDescent="0.35">
      <c r="A74">
        <v>1118000814</v>
      </c>
      <c r="B74" t="s">
        <v>152</v>
      </c>
      <c r="C74" t="s">
        <v>1784</v>
      </c>
      <c r="D74" t="s">
        <v>1518</v>
      </c>
      <c r="E74" t="s">
        <v>1734</v>
      </c>
      <c r="F74" t="s">
        <v>1942</v>
      </c>
      <c r="G74" t="s">
        <v>1498</v>
      </c>
      <c r="H74" t="s">
        <v>1493</v>
      </c>
      <c r="I74" t="s">
        <v>781</v>
      </c>
      <c r="J74">
        <v>3343</v>
      </c>
      <c r="K74" t="s">
        <v>778</v>
      </c>
    </row>
    <row r="75" spans="1:11" x14ac:dyDescent="0.35">
      <c r="A75">
        <v>1118000814</v>
      </c>
      <c r="B75" t="s">
        <v>152</v>
      </c>
      <c r="C75" t="s">
        <v>1818</v>
      </c>
      <c r="D75" t="s">
        <v>1534</v>
      </c>
      <c r="E75" t="s">
        <v>1734</v>
      </c>
      <c r="F75" t="s">
        <v>1522</v>
      </c>
      <c r="G75" t="s">
        <v>1498</v>
      </c>
      <c r="H75" t="s">
        <v>1493</v>
      </c>
      <c r="I75" t="s">
        <v>781</v>
      </c>
      <c r="J75">
        <v>3343</v>
      </c>
      <c r="K75" t="s">
        <v>778</v>
      </c>
    </row>
    <row r="76" spans="1:11" x14ac:dyDescent="0.35">
      <c r="A76">
        <v>1118000814</v>
      </c>
      <c r="B76" t="s">
        <v>152</v>
      </c>
      <c r="C76" t="s">
        <v>1737</v>
      </c>
      <c r="D76" t="s">
        <v>1495</v>
      </c>
      <c r="E76" t="s">
        <v>1734</v>
      </c>
      <c r="F76" t="s">
        <v>1494</v>
      </c>
      <c r="G76" t="s">
        <v>1498</v>
      </c>
      <c r="H76" t="s">
        <v>1493</v>
      </c>
      <c r="I76" t="s">
        <v>781</v>
      </c>
      <c r="J76">
        <v>3343</v>
      </c>
      <c r="K76" t="s">
        <v>778</v>
      </c>
    </row>
    <row r="77" spans="1:11" x14ac:dyDescent="0.35">
      <c r="A77">
        <v>1118020225</v>
      </c>
      <c r="B77" t="s">
        <v>158</v>
      </c>
      <c r="C77" t="s">
        <v>1957</v>
      </c>
      <c r="D77" t="s">
        <v>1623</v>
      </c>
      <c r="E77" t="s">
        <v>1915</v>
      </c>
      <c r="F77" t="s">
        <v>1445</v>
      </c>
      <c r="G77" t="s">
        <v>1439</v>
      </c>
      <c r="H77" t="s">
        <v>1433</v>
      </c>
      <c r="I77" t="s">
        <v>784</v>
      </c>
      <c r="J77">
        <v>4222</v>
      </c>
      <c r="K77" t="s">
        <v>787</v>
      </c>
    </row>
    <row r="78" spans="1:11" x14ac:dyDescent="0.35">
      <c r="A78">
        <v>1118020225</v>
      </c>
      <c r="B78" t="s">
        <v>158</v>
      </c>
      <c r="C78" t="s">
        <v>1958</v>
      </c>
      <c r="D78" t="s">
        <v>1959</v>
      </c>
      <c r="E78" t="s">
        <v>1570</v>
      </c>
      <c r="F78" t="s">
        <v>1567</v>
      </c>
      <c r="G78" t="s">
        <v>1439</v>
      </c>
      <c r="H78" t="s">
        <v>1433</v>
      </c>
      <c r="I78" t="s">
        <v>784</v>
      </c>
      <c r="J78">
        <v>4222</v>
      </c>
      <c r="K78" t="s">
        <v>787</v>
      </c>
    </row>
    <row r="79" spans="1:11" x14ac:dyDescent="0.35">
      <c r="A79">
        <v>1118020225</v>
      </c>
      <c r="B79" t="s">
        <v>158</v>
      </c>
      <c r="C79" t="s">
        <v>1837</v>
      </c>
      <c r="D79" t="s">
        <v>1530</v>
      </c>
      <c r="E79" t="s">
        <v>1834</v>
      </c>
      <c r="F79" t="s">
        <v>1921</v>
      </c>
      <c r="G79" t="s">
        <v>1498</v>
      </c>
      <c r="H79" t="s">
        <v>1922</v>
      </c>
      <c r="I79" t="s">
        <v>784</v>
      </c>
      <c r="J79">
        <v>4222</v>
      </c>
      <c r="K79" t="s">
        <v>787</v>
      </c>
    </row>
    <row r="80" spans="1:11" x14ac:dyDescent="0.35">
      <c r="A80">
        <v>1118020225</v>
      </c>
      <c r="B80" t="s">
        <v>158</v>
      </c>
      <c r="C80" t="s">
        <v>1747</v>
      </c>
      <c r="D80" t="s">
        <v>1501</v>
      </c>
      <c r="E80" t="s">
        <v>1734</v>
      </c>
      <c r="F80" t="s">
        <v>1500</v>
      </c>
      <c r="G80" t="s">
        <v>1498</v>
      </c>
      <c r="H80" t="s">
        <v>1493</v>
      </c>
      <c r="I80" t="s">
        <v>784</v>
      </c>
      <c r="J80">
        <v>4222</v>
      </c>
      <c r="K80" t="s">
        <v>787</v>
      </c>
    </row>
    <row r="81" spans="1:11" x14ac:dyDescent="0.35">
      <c r="A81">
        <v>1118020225</v>
      </c>
      <c r="B81" t="s">
        <v>158</v>
      </c>
      <c r="C81" t="s">
        <v>1815</v>
      </c>
      <c r="D81" t="s">
        <v>1523</v>
      </c>
      <c r="E81" t="s">
        <v>1734</v>
      </c>
      <c r="F81" t="s">
        <v>1522</v>
      </c>
      <c r="G81" t="s">
        <v>1498</v>
      </c>
      <c r="H81" t="s">
        <v>1493</v>
      </c>
      <c r="I81" t="s">
        <v>784</v>
      </c>
      <c r="J81">
        <v>4222</v>
      </c>
      <c r="K81" t="s">
        <v>787</v>
      </c>
    </row>
    <row r="82" spans="1:11" x14ac:dyDescent="0.35">
      <c r="A82">
        <v>1118003709</v>
      </c>
      <c r="B82" t="s">
        <v>164</v>
      </c>
      <c r="C82" t="s">
        <v>1955</v>
      </c>
      <c r="D82" t="s">
        <v>1443</v>
      </c>
      <c r="E82" t="s">
        <v>1915</v>
      </c>
      <c r="F82" t="s">
        <v>1434</v>
      </c>
      <c r="G82" t="s">
        <v>1439</v>
      </c>
      <c r="H82" t="s">
        <v>1433</v>
      </c>
      <c r="I82" t="s">
        <v>789</v>
      </c>
      <c r="J82">
        <v>5230</v>
      </c>
      <c r="K82" t="s">
        <v>792</v>
      </c>
    </row>
    <row r="83" spans="1:11" x14ac:dyDescent="0.35">
      <c r="A83">
        <v>1118003709</v>
      </c>
      <c r="B83" t="s">
        <v>164</v>
      </c>
      <c r="C83" t="s">
        <v>1936</v>
      </c>
      <c r="D83" t="s">
        <v>1937</v>
      </c>
      <c r="E83" t="s">
        <v>1915</v>
      </c>
      <c r="F83" t="s">
        <v>1434</v>
      </c>
      <c r="G83" t="s">
        <v>1439</v>
      </c>
      <c r="H83" t="s">
        <v>1433</v>
      </c>
      <c r="I83" t="s">
        <v>789</v>
      </c>
      <c r="J83">
        <v>5230</v>
      </c>
      <c r="K83" t="s">
        <v>792</v>
      </c>
    </row>
    <row r="84" spans="1:11" x14ac:dyDescent="0.35">
      <c r="A84">
        <v>1118017586</v>
      </c>
      <c r="B84" t="s">
        <v>171</v>
      </c>
      <c r="C84" t="s">
        <v>1682</v>
      </c>
      <c r="D84" t="s">
        <v>1960</v>
      </c>
      <c r="E84" t="s">
        <v>1666</v>
      </c>
      <c r="F84" t="s">
        <v>1683</v>
      </c>
      <c r="G84" t="s">
        <v>1439</v>
      </c>
      <c r="H84" t="s">
        <v>1433</v>
      </c>
      <c r="I84" t="s">
        <v>794</v>
      </c>
      <c r="J84">
        <v>2211</v>
      </c>
      <c r="K84" t="s">
        <v>797</v>
      </c>
    </row>
    <row r="85" spans="1:11" x14ac:dyDescent="0.35">
      <c r="A85">
        <v>1118017586</v>
      </c>
      <c r="B85" t="s">
        <v>171</v>
      </c>
      <c r="C85" t="s">
        <v>1751</v>
      </c>
      <c r="D85" t="s">
        <v>1753</v>
      </c>
      <c r="E85" t="s">
        <v>1734</v>
      </c>
      <c r="F85" t="s">
        <v>1752</v>
      </c>
      <c r="G85" t="s">
        <v>1498</v>
      </c>
      <c r="H85" t="s">
        <v>1493</v>
      </c>
      <c r="I85" t="s">
        <v>794</v>
      </c>
      <c r="J85">
        <v>2211</v>
      </c>
      <c r="K85" t="s">
        <v>797</v>
      </c>
    </row>
    <row r="86" spans="1:11" x14ac:dyDescent="0.35">
      <c r="A86">
        <v>1118017586</v>
      </c>
      <c r="B86" t="s">
        <v>171</v>
      </c>
      <c r="C86" t="s">
        <v>1843</v>
      </c>
      <c r="D86" t="s">
        <v>1844</v>
      </c>
      <c r="E86" t="s">
        <v>1834</v>
      </c>
      <c r="F86" t="s">
        <v>1923</v>
      </c>
      <c r="G86" t="s">
        <v>1498</v>
      </c>
      <c r="H86" t="s">
        <v>1922</v>
      </c>
      <c r="I86" t="s">
        <v>794</v>
      </c>
      <c r="J86">
        <v>2211</v>
      </c>
      <c r="K86" t="s">
        <v>797</v>
      </c>
    </row>
    <row r="87" spans="1:11" x14ac:dyDescent="0.35">
      <c r="A87">
        <v>2164100</v>
      </c>
      <c r="B87" t="s">
        <v>184</v>
      </c>
      <c r="C87" t="s">
        <v>1532</v>
      </c>
      <c r="D87" t="s">
        <v>1530</v>
      </c>
      <c r="E87" t="s">
        <v>1834</v>
      </c>
      <c r="F87" t="s">
        <v>1921</v>
      </c>
      <c r="G87" t="s">
        <v>1498</v>
      </c>
      <c r="H87" t="s">
        <v>1922</v>
      </c>
      <c r="I87" t="s">
        <v>803</v>
      </c>
      <c r="J87">
        <v>5131</v>
      </c>
      <c r="K87" t="s">
        <v>806</v>
      </c>
    </row>
    <row r="88" spans="1:11" x14ac:dyDescent="0.35">
      <c r="A88">
        <v>2164100</v>
      </c>
      <c r="B88" t="s">
        <v>184</v>
      </c>
      <c r="C88" t="s">
        <v>1849</v>
      </c>
      <c r="D88" t="s">
        <v>1851</v>
      </c>
      <c r="E88" t="s">
        <v>1734</v>
      </c>
      <c r="F88" t="s">
        <v>1850</v>
      </c>
      <c r="G88" t="s">
        <v>1498</v>
      </c>
      <c r="H88" t="s">
        <v>1493</v>
      </c>
      <c r="I88" t="s">
        <v>803</v>
      </c>
      <c r="J88">
        <v>5131</v>
      </c>
      <c r="K88" t="s">
        <v>806</v>
      </c>
    </row>
    <row r="89" spans="1:11" x14ac:dyDescent="0.35">
      <c r="A89">
        <v>2165052</v>
      </c>
      <c r="B89" t="s">
        <v>191</v>
      </c>
      <c r="C89" t="s">
        <v>1676</v>
      </c>
      <c r="D89" t="s">
        <v>1961</v>
      </c>
      <c r="E89" t="s">
        <v>1666</v>
      </c>
      <c r="F89" t="s">
        <v>1558</v>
      </c>
      <c r="G89" t="s">
        <v>1498</v>
      </c>
      <c r="H89" t="s">
        <v>1433</v>
      </c>
      <c r="I89" t="s">
        <v>808</v>
      </c>
      <c r="J89">
        <v>7411</v>
      </c>
      <c r="K89" t="s">
        <v>701</v>
      </c>
    </row>
    <row r="90" spans="1:11" x14ac:dyDescent="0.35">
      <c r="A90">
        <v>2165052</v>
      </c>
      <c r="B90" t="s">
        <v>191</v>
      </c>
      <c r="C90" t="s">
        <v>1659</v>
      </c>
      <c r="D90" t="s">
        <v>1563</v>
      </c>
      <c r="E90" t="s">
        <v>1565</v>
      </c>
      <c r="F90" t="s">
        <v>1562</v>
      </c>
      <c r="G90" t="s">
        <v>1498</v>
      </c>
      <c r="H90" t="s">
        <v>1433</v>
      </c>
      <c r="I90" t="s">
        <v>808</v>
      </c>
      <c r="J90">
        <v>7411</v>
      </c>
      <c r="K90" t="s">
        <v>701</v>
      </c>
    </row>
    <row r="91" spans="1:11" x14ac:dyDescent="0.35">
      <c r="A91">
        <v>2165052</v>
      </c>
      <c r="B91" t="s">
        <v>191</v>
      </c>
      <c r="C91" t="s">
        <v>1662</v>
      </c>
      <c r="D91" t="s">
        <v>1663</v>
      </c>
      <c r="E91" t="s">
        <v>1666</v>
      </c>
      <c r="F91" t="s">
        <v>1562</v>
      </c>
      <c r="G91" t="s">
        <v>1498</v>
      </c>
      <c r="H91" t="s">
        <v>1433</v>
      </c>
      <c r="I91" t="s">
        <v>808</v>
      </c>
      <c r="J91">
        <v>7411</v>
      </c>
      <c r="K91" t="s">
        <v>701</v>
      </c>
    </row>
    <row r="92" spans="1:11" x14ac:dyDescent="0.35">
      <c r="A92">
        <v>2165052</v>
      </c>
      <c r="B92" t="s">
        <v>191</v>
      </c>
      <c r="C92" t="s">
        <v>1672</v>
      </c>
      <c r="D92" t="s">
        <v>1673</v>
      </c>
      <c r="E92" t="s">
        <v>1666</v>
      </c>
      <c r="F92" t="s">
        <v>1562</v>
      </c>
      <c r="G92" t="s">
        <v>1498</v>
      </c>
      <c r="H92" t="s">
        <v>1433</v>
      </c>
      <c r="I92" t="s">
        <v>808</v>
      </c>
      <c r="J92">
        <v>7411</v>
      </c>
      <c r="K92" t="s">
        <v>701</v>
      </c>
    </row>
    <row r="93" spans="1:11" x14ac:dyDescent="0.35">
      <c r="A93">
        <v>2165052</v>
      </c>
      <c r="B93" t="s">
        <v>191</v>
      </c>
      <c r="C93" t="s">
        <v>1668</v>
      </c>
      <c r="D93" t="s">
        <v>1669</v>
      </c>
      <c r="E93" t="s">
        <v>1666</v>
      </c>
      <c r="F93" t="s">
        <v>1562</v>
      </c>
      <c r="G93" t="s">
        <v>1498</v>
      </c>
      <c r="H93" t="s">
        <v>1433</v>
      </c>
      <c r="I93" t="s">
        <v>808</v>
      </c>
      <c r="J93">
        <v>7411</v>
      </c>
      <c r="K93" t="s">
        <v>701</v>
      </c>
    </row>
    <row r="94" spans="1:11" x14ac:dyDescent="0.35">
      <c r="A94">
        <v>2165301</v>
      </c>
      <c r="B94" t="s">
        <v>198</v>
      </c>
      <c r="C94" t="s">
        <v>1962</v>
      </c>
      <c r="D94" t="s">
        <v>1443</v>
      </c>
      <c r="E94" t="s">
        <v>1915</v>
      </c>
      <c r="F94" t="s">
        <v>1434</v>
      </c>
      <c r="G94" t="s">
        <v>1439</v>
      </c>
      <c r="H94" t="s">
        <v>1433</v>
      </c>
      <c r="I94" t="s">
        <v>2001</v>
      </c>
      <c r="J94">
        <v>3341</v>
      </c>
      <c r="K94" t="s">
        <v>813</v>
      </c>
    </row>
    <row r="95" spans="1:11" x14ac:dyDescent="0.35">
      <c r="A95">
        <v>2165301</v>
      </c>
      <c r="B95" t="s">
        <v>198</v>
      </c>
      <c r="C95" t="s">
        <v>1760</v>
      </c>
      <c r="D95" t="s">
        <v>1510</v>
      </c>
      <c r="E95" t="s">
        <v>1734</v>
      </c>
      <c r="F95" t="s">
        <v>1509</v>
      </c>
      <c r="G95" t="s">
        <v>1498</v>
      </c>
      <c r="H95" t="s">
        <v>1493</v>
      </c>
      <c r="I95" t="s">
        <v>2001</v>
      </c>
      <c r="J95">
        <v>3341</v>
      </c>
      <c r="K95" t="s">
        <v>813</v>
      </c>
    </row>
    <row r="96" spans="1:11" x14ac:dyDescent="0.35">
      <c r="A96">
        <v>1116898892</v>
      </c>
      <c r="B96" t="s">
        <v>204</v>
      </c>
      <c r="C96" t="s">
        <v>1678</v>
      </c>
      <c r="D96" t="s">
        <v>1963</v>
      </c>
      <c r="E96" t="s">
        <v>1666</v>
      </c>
      <c r="F96" t="s">
        <v>1558</v>
      </c>
      <c r="G96" t="s">
        <v>1498</v>
      </c>
      <c r="H96" t="s">
        <v>1433</v>
      </c>
      <c r="I96" t="s">
        <v>2002</v>
      </c>
      <c r="J96">
        <v>8322</v>
      </c>
      <c r="K96" t="s">
        <v>818</v>
      </c>
    </row>
    <row r="97" spans="1:11" x14ac:dyDescent="0.35">
      <c r="A97">
        <v>1116898892</v>
      </c>
      <c r="B97" t="s">
        <v>204</v>
      </c>
      <c r="C97" t="s">
        <v>1855</v>
      </c>
      <c r="D97" t="s">
        <v>1857</v>
      </c>
      <c r="E97" t="s">
        <v>1734</v>
      </c>
      <c r="F97" t="s">
        <v>1856</v>
      </c>
      <c r="G97" t="s">
        <v>1498</v>
      </c>
      <c r="H97" t="s">
        <v>1493</v>
      </c>
      <c r="I97" t="s">
        <v>2002</v>
      </c>
      <c r="J97">
        <v>8322</v>
      </c>
      <c r="K97" t="s">
        <v>818</v>
      </c>
    </row>
    <row r="98" spans="1:11" x14ac:dyDescent="0.35">
      <c r="A98">
        <v>1116898892</v>
      </c>
      <c r="B98" t="s">
        <v>204</v>
      </c>
      <c r="C98" t="s">
        <v>1804</v>
      </c>
      <c r="D98" t="s">
        <v>1805</v>
      </c>
      <c r="E98" t="s">
        <v>1734</v>
      </c>
      <c r="F98" t="s">
        <v>1790</v>
      </c>
      <c r="G98" t="s">
        <v>1498</v>
      </c>
      <c r="H98" t="s">
        <v>1493</v>
      </c>
      <c r="I98" t="s">
        <v>2002</v>
      </c>
      <c r="J98">
        <v>8322</v>
      </c>
      <c r="K98" t="s">
        <v>818</v>
      </c>
    </row>
    <row r="99" spans="1:11" x14ac:dyDescent="0.35">
      <c r="A99">
        <v>1116898892</v>
      </c>
      <c r="B99" t="s">
        <v>204</v>
      </c>
      <c r="C99" t="s">
        <v>1780</v>
      </c>
      <c r="D99" t="s">
        <v>1775</v>
      </c>
      <c r="E99" t="s">
        <v>1734</v>
      </c>
      <c r="F99" t="s">
        <v>1774</v>
      </c>
      <c r="G99" t="s">
        <v>1498</v>
      </c>
      <c r="H99" t="s">
        <v>1493</v>
      </c>
      <c r="I99" t="s">
        <v>2002</v>
      </c>
      <c r="J99">
        <v>8322</v>
      </c>
      <c r="K99" t="s">
        <v>818</v>
      </c>
    </row>
    <row r="100" spans="1:11" x14ac:dyDescent="0.35">
      <c r="A100">
        <v>1117961954</v>
      </c>
      <c r="B100" t="s">
        <v>226</v>
      </c>
      <c r="C100" t="s">
        <v>1964</v>
      </c>
      <c r="D100" t="s">
        <v>1443</v>
      </c>
      <c r="E100" t="s">
        <v>1915</v>
      </c>
      <c r="F100" t="s">
        <v>1434</v>
      </c>
      <c r="G100" t="s">
        <v>1439</v>
      </c>
      <c r="H100" t="s">
        <v>1433</v>
      </c>
      <c r="I100" t="s">
        <v>775</v>
      </c>
      <c r="J100">
        <v>3343</v>
      </c>
      <c r="K100" t="s">
        <v>778</v>
      </c>
    </row>
    <row r="101" spans="1:11" x14ac:dyDescent="0.35">
      <c r="A101">
        <v>1117961954</v>
      </c>
      <c r="B101" t="s">
        <v>226</v>
      </c>
      <c r="C101" t="s">
        <v>1768</v>
      </c>
      <c r="D101" t="s">
        <v>1515</v>
      </c>
      <c r="E101" t="s">
        <v>1734</v>
      </c>
      <c r="F101" t="s">
        <v>1514</v>
      </c>
      <c r="G101" t="s">
        <v>1498</v>
      </c>
      <c r="H101" t="s">
        <v>1493</v>
      </c>
      <c r="I101" t="s">
        <v>775</v>
      </c>
      <c r="J101">
        <v>3343</v>
      </c>
      <c r="K101" t="s">
        <v>778</v>
      </c>
    </row>
    <row r="102" spans="1:11" x14ac:dyDescent="0.35">
      <c r="A102">
        <v>1117961954</v>
      </c>
      <c r="B102" t="s">
        <v>226</v>
      </c>
      <c r="C102" t="s">
        <v>1793</v>
      </c>
      <c r="D102" t="s">
        <v>1537</v>
      </c>
      <c r="E102" t="s">
        <v>1734</v>
      </c>
      <c r="F102" t="s">
        <v>1790</v>
      </c>
      <c r="G102" t="s">
        <v>1498</v>
      </c>
      <c r="H102" t="s">
        <v>1493</v>
      </c>
      <c r="I102" t="s">
        <v>775</v>
      </c>
      <c r="J102">
        <v>3343</v>
      </c>
      <c r="K102" t="s">
        <v>778</v>
      </c>
    </row>
    <row r="103" spans="1:11" x14ac:dyDescent="0.35">
      <c r="A103">
        <v>1117982053</v>
      </c>
      <c r="B103" t="s">
        <v>233</v>
      </c>
      <c r="C103" t="s">
        <v>1337</v>
      </c>
      <c r="D103" t="s">
        <v>1965</v>
      </c>
      <c r="E103" t="s">
        <v>1915</v>
      </c>
      <c r="F103" t="s">
        <v>1640</v>
      </c>
      <c r="G103" t="s">
        <v>1439</v>
      </c>
      <c r="H103" t="s">
        <v>1433</v>
      </c>
      <c r="I103" t="s">
        <v>830</v>
      </c>
      <c r="J103">
        <v>2513</v>
      </c>
      <c r="K103" t="s">
        <v>833</v>
      </c>
    </row>
    <row r="104" spans="1:11" x14ac:dyDescent="0.35">
      <c r="A104">
        <v>1117982053</v>
      </c>
      <c r="B104" t="s">
        <v>233</v>
      </c>
      <c r="C104" t="s">
        <v>1340</v>
      </c>
      <c r="D104" t="s">
        <v>1966</v>
      </c>
      <c r="E104" t="s">
        <v>1915</v>
      </c>
      <c r="F104" t="s">
        <v>1640</v>
      </c>
      <c r="G104" t="s">
        <v>1439</v>
      </c>
      <c r="H104" t="s">
        <v>1433</v>
      </c>
      <c r="I104" t="s">
        <v>830</v>
      </c>
      <c r="J104">
        <v>2513</v>
      </c>
      <c r="K104" t="s">
        <v>833</v>
      </c>
    </row>
    <row r="105" spans="1:11" x14ac:dyDescent="0.35">
      <c r="A105">
        <v>1118018461</v>
      </c>
      <c r="B105" t="s">
        <v>240</v>
      </c>
      <c r="C105" t="s">
        <v>1967</v>
      </c>
      <c r="D105" t="s">
        <v>1443</v>
      </c>
      <c r="E105" t="s">
        <v>1915</v>
      </c>
      <c r="F105" t="s">
        <v>1434</v>
      </c>
      <c r="G105" t="s">
        <v>1439</v>
      </c>
      <c r="H105" t="s">
        <v>1433</v>
      </c>
      <c r="I105" t="s">
        <v>835</v>
      </c>
      <c r="J105">
        <v>2619</v>
      </c>
      <c r="K105" t="s">
        <v>2003</v>
      </c>
    </row>
    <row r="106" spans="1:11" x14ac:dyDescent="0.35">
      <c r="A106">
        <v>1118018461</v>
      </c>
      <c r="B106" t="s">
        <v>240</v>
      </c>
      <c r="C106" t="s">
        <v>1968</v>
      </c>
      <c r="D106" t="s">
        <v>1617</v>
      </c>
      <c r="E106" t="s">
        <v>1915</v>
      </c>
      <c r="F106" t="s">
        <v>1616</v>
      </c>
      <c r="G106" t="s">
        <v>1439</v>
      </c>
      <c r="H106" t="s">
        <v>1433</v>
      </c>
      <c r="I106" t="s">
        <v>835</v>
      </c>
      <c r="J106">
        <v>2619</v>
      </c>
      <c r="K106" t="s">
        <v>2003</v>
      </c>
    </row>
    <row r="107" spans="1:11" x14ac:dyDescent="0.35">
      <c r="A107">
        <v>1118018461</v>
      </c>
      <c r="B107" t="s">
        <v>240</v>
      </c>
      <c r="C107" t="s">
        <v>1772</v>
      </c>
      <c r="D107" t="s">
        <v>1515</v>
      </c>
      <c r="E107" t="s">
        <v>1734</v>
      </c>
      <c r="F107" t="s">
        <v>1514</v>
      </c>
      <c r="G107" t="s">
        <v>1498</v>
      </c>
      <c r="H107" t="s">
        <v>1493</v>
      </c>
      <c r="I107" t="s">
        <v>835</v>
      </c>
      <c r="J107">
        <v>2619</v>
      </c>
      <c r="K107" t="s">
        <v>2003</v>
      </c>
    </row>
    <row r="108" spans="1:11" x14ac:dyDescent="0.35">
      <c r="A108">
        <v>1118018461</v>
      </c>
      <c r="B108" t="s">
        <v>240</v>
      </c>
      <c r="C108" t="s">
        <v>1768</v>
      </c>
      <c r="D108" t="s">
        <v>1515</v>
      </c>
      <c r="E108" t="s">
        <v>1734</v>
      </c>
      <c r="F108" t="s">
        <v>1514</v>
      </c>
      <c r="G108" t="s">
        <v>1498</v>
      </c>
      <c r="H108" t="s">
        <v>1493</v>
      </c>
      <c r="I108" t="s">
        <v>835</v>
      </c>
      <c r="J108">
        <v>2619</v>
      </c>
      <c r="K108" t="s">
        <v>2003</v>
      </c>
    </row>
    <row r="109" spans="1:11" x14ac:dyDescent="0.35">
      <c r="A109">
        <v>1118018461</v>
      </c>
      <c r="B109" t="s">
        <v>240</v>
      </c>
      <c r="C109" t="s">
        <v>1814</v>
      </c>
      <c r="D109" t="s">
        <v>1523</v>
      </c>
      <c r="E109" t="s">
        <v>1734</v>
      </c>
      <c r="F109" t="s">
        <v>1522</v>
      </c>
      <c r="G109" t="s">
        <v>1498</v>
      </c>
      <c r="H109" t="s">
        <v>1493</v>
      </c>
      <c r="I109" t="s">
        <v>835</v>
      </c>
      <c r="J109">
        <v>2619</v>
      </c>
      <c r="K109" t="s">
        <v>2003</v>
      </c>
    </row>
    <row r="110" spans="1:11" x14ac:dyDescent="0.35">
      <c r="A110">
        <v>1118018461</v>
      </c>
      <c r="B110" t="s">
        <v>240</v>
      </c>
      <c r="C110" t="s">
        <v>1532</v>
      </c>
      <c r="D110" t="s">
        <v>1530</v>
      </c>
      <c r="E110" t="s">
        <v>1834</v>
      </c>
      <c r="F110" t="s">
        <v>1921</v>
      </c>
      <c r="G110" t="s">
        <v>1498</v>
      </c>
      <c r="H110" t="s">
        <v>1922</v>
      </c>
      <c r="I110" t="s">
        <v>835</v>
      </c>
      <c r="J110">
        <v>2619</v>
      </c>
      <c r="K110" t="s">
        <v>2003</v>
      </c>
    </row>
    <row r="111" spans="1:11" x14ac:dyDescent="0.35">
      <c r="A111">
        <v>1118018461</v>
      </c>
      <c r="B111" t="s">
        <v>240</v>
      </c>
      <c r="C111" t="s">
        <v>1832</v>
      </c>
      <c r="D111" t="s">
        <v>1796</v>
      </c>
      <c r="E111" t="s">
        <v>1734</v>
      </c>
      <c r="F111" t="s">
        <v>1949</v>
      </c>
      <c r="G111" t="s">
        <v>1498</v>
      </c>
      <c r="H111" t="s">
        <v>1493</v>
      </c>
      <c r="I111" t="s">
        <v>835</v>
      </c>
      <c r="J111">
        <v>2619</v>
      </c>
      <c r="K111" t="s">
        <v>2003</v>
      </c>
    </row>
    <row r="112" spans="1:11" x14ac:dyDescent="0.35">
      <c r="A112">
        <v>1118018461</v>
      </c>
      <c r="B112" t="s">
        <v>240</v>
      </c>
      <c r="C112" t="s">
        <v>1746</v>
      </c>
      <c r="D112" t="s">
        <v>1501</v>
      </c>
      <c r="E112" t="s">
        <v>1734</v>
      </c>
      <c r="F112" t="s">
        <v>1500</v>
      </c>
      <c r="G112" t="s">
        <v>1498</v>
      </c>
      <c r="H112" t="s">
        <v>1493</v>
      </c>
      <c r="I112" t="s">
        <v>835</v>
      </c>
      <c r="J112">
        <v>2619</v>
      </c>
      <c r="K112" t="s">
        <v>2003</v>
      </c>
    </row>
    <row r="113" spans="1:11" x14ac:dyDescent="0.35">
      <c r="A113">
        <v>1118018714</v>
      </c>
      <c r="B113" t="s">
        <v>245</v>
      </c>
      <c r="C113" t="s">
        <v>1969</v>
      </c>
      <c r="D113" t="s">
        <v>1970</v>
      </c>
      <c r="E113" t="s">
        <v>1915</v>
      </c>
      <c r="F113" t="s">
        <v>1453</v>
      </c>
      <c r="G113" t="s">
        <v>1439</v>
      </c>
      <c r="H113" t="s">
        <v>1433</v>
      </c>
      <c r="I113" t="s">
        <v>840</v>
      </c>
      <c r="J113">
        <v>2651</v>
      </c>
      <c r="K113" t="s">
        <v>843</v>
      </c>
    </row>
    <row r="114" spans="1:11" x14ac:dyDescent="0.35">
      <c r="A114">
        <v>1118018714</v>
      </c>
      <c r="B114" t="s">
        <v>245</v>
      </c>
      <c r="C114" t="s">
        <v>1971</v>
      </c>
      <c r="D114" t="s">
        <v>1970</v>
      </c>
      <c r="E114" t="s">
        <v>1915</v>
      </c>
      <c r="F114" t="s">
        <v>1453</v>
      </c>
      <c r="G114" t="s">
        <v>1439</v>
      </c>
      <c r="H114" t="s">
        <v>1433</v>
      </c>
      <c r="I114" t="s">
        <v>840</v>
      </c>
      <c r="J114">
        <v>2651</v>
      </c>
      <c r="K114" t="s">
        <v>843</v>
      </c>
    </row>
    <row r="115" spans="1:11" x14ac:dyDescent="0.35">
      <c r="A115">
        <v>1118018714</v>
      </c>
      <c r="B115" t="s">
        <v>245</v>
      </c>
      <c r="C115" t="s">
        <v>1828</v>
      </c>
      <c r="D115" t="s">
        <v>1526</v>
      </c>
      <c r="E115" t="s">
        <v>1734</v>
      </c>
      <c r="F115" t="s">
        <v>1825</v>
      </c>
      <c r="G115" t="s">
        <v>1498</v>
      </c>
      <c r="H115" t="s">
        <v>1493</v>
      </c>
      <c r="I115" t="s">
        <v>840</v>
      </c>
      <c r="J115">
        <v>2651</v>
      </c>
      <c r="K115" t="s">
        <v>843</v>
      </c>
    </row>
    <row r="116" spans="1:11" x14ac:dyDescent="0.35">
      <c r="A116">
        <v>1118031991</v>
      </c>
      <c r="B116" t="s">
        <v>251</v>
      </c>
      <c r="C116" t="s">
        <v>1492</v>
      </c>
      <c r="D116" t="s">
        <v>1495</v>
      </c>
      <c r="E116" t="s">
        <v>1734</v>
      </c>
      <c r="F116" t="s">
        <v>1494</v>
      </c>
      <c r="G116" t="s">
        <v>1498</v>
      </c>
      <c r="H116" t="s">
        <v>1493</v>
      </c>
      <c r="I116" t="s">
        <v>844</v>
      </c>
      <c r="J116">
        <v>5223</v>
      </c>
      <c r="K116" t="s">
        <v>679</v>
      </c>
    </row>
    <row r="117" spans="1:11" x14ac:dyDescent="0.35">
      <c r="A117">
        <v>1116884561</v>
      </c>
      <c r="B117" t="s">
        <v>258</v>
      </c>
      <c r="C117" t="s">
        <v>1504</v>
      </c>
      <c r="D117" t="s">
        <v>1925</v>
      </c>
      <c r="E117" t="s">
        <v>1734</v>
      </c>
      <c r="F117" t="s">
        <v>1748</v>
      </c>
      <c r="G117" t="s">
        <v>1498</v>
      </c>
      <c r="H117" t="s">
        <v>1493</v>
      </c>
      <c r="I117" t="s">
        <v>722</v>
      </c>
      <c r="J117">
        <v>3322</v>
      </c>
      <c r="K117" t="s">
        <v>725</v>
      </c>
    </row>
    <row r="118" spans="1:11" x14ac:dyDescent="0.35">
      <c r="A118">
        <v>1116884561</v>
      </c>
      <c r="B118" t="s">
        <v>258</v>
      </c>
      <c r="C118" t="s">
        <v>1799</v>
      </c>
      <c r="D118" t="s">
        <v>1800</v>
      </c>
      <c r="E118" t="s">
        <v>1734</v>
      </c>
      <c r="F118" t="s">
        <v>1790</v>
      </c>
      <c r="G118" t="s">
        <v>1498</v>
      </c>
      <c r="H118" t="s">
        <v>1493</v>
      </c>
      <c r="I118" t="s">
        <v>722</v>
      </c>
      <c r="J118">
        <v>3322</v>
      </c>
      <c r="K118" t="s">
        <v>725</v>
      </c>
    </row>
    <row r="119" spans="1:11" x14ac:dyDescent="0.35">
      <c r="A119">
        <v>1116884561</v>
      </c>
      <c r="B119" t="s">
        <v>258</v>
      </c>
      <c r="C119" t="s">
        <v>1533</v>
      </c>
      <c r="D119" t="s">
        <v>1534</v>
      </c>
      <c r="E119" t="s">
        <v>1734</v>
      </c>
      <c r="F119" t="s">
        <v>1522</v>
      </c>
      <c r="G119" t="s">
        <v>1498</v>
      </c>
      <c r="H119" t="s">
        <v>1493</v>
      </c>
      <c r="I119" t="s">
        <v>722</v>
      </c>
      <c r="J119">
        <v>3322</v>
      </c>
      <c r="K119" t="s">
        <v>725</v>
      </c>
    </row>
    <row r="120" spans="1:11" x14ac:dyDescent="0.35">
      <c r="A120">
        <v>1116884561</v>
      </c>
      <c r="B120" t="s">
        <v>258</v>
      </c>
      <c r="C120" t="s">
        <v>1736</v>
      </c>
      <c r="D120" t="s">
        <v>1495</v>
      </c>
      <c r="E120" t="s">
        <v>1734</v>
      </c>
      <c r="F120" t="s">
        <v>1494</v>
      </c>
      <c r="G120" t="s">
        <v>1498</v>
      </c>
      <c r="H120" t="s">
        <v>1493</v>
      </c>
      <c r="I120" t="s">
        <v>722</v>
      </c>
      <c r="J120">
        <v>3322</v>
      </c>
      <c r="K120" t="s">
        <v>725</v>
      </c>
    </row>
    <row r="121" spans="1:11" x14ac:dyDescent="0.35">
      <c r="A121">
        <v>1116884561</v>
      </c>
      <c r="B121" t="s">
        <v>258</v>
      </c>
      <c r="C121" t="s">
        <v>1742</v>
      </c>
      <c r="D121" t="s">
        <v>1743</v>
      </c>
      <c r="E121" t="s">
        <v>1734</v>
      </c>
      <c r="F121" t="s">
        <v>1500</v>
      </c>
      <c r="G121" t="s">
        <v>1498</v>
      </c>
      <c r="H121" t="s">
        <v>1493</v>
      </c>
      <c r="I121" t="s">
        <v>722</v>
      </c>
      <c r="J121">
        <v>3322</v>
      </c>
      <c r="K121" t="s">
        <v>725</v>
      </c>
    </row>
    <row r="122" spans="1:11" x14ac:dyDescent="0.35">
      <c r="A122">
        <v>1116884561</v>
      </c>
      <c r="B122" t="s">
        <v>258</v>
      </c>
      <c r="C122" t="s">
        <v>1811</v>
      </c>
      <c r="D122" t="s">
        <v>1541</v>
      </c>
      <c r="E122" t="s">
        <v>1734</v>
      </c>
      <c r="F122" t="s">
        <v>1540</v>
      </c>
      <c r="G122" t="s">
        <v>1498</v>
      </c>
      <c r="H122" t="s">
        <v>1493</v>
      </c>
      <c r="I122" t="s">
        <v>722</v>
      </c>
      <c r="J122">
        <v>3322</v>
      </c>
      <c r="K122" t="s">
        <v>725</v>
      </c>
    </row>
    <row r="123" spans="1:11" x14ac:dyDescent="0.35">
      <c r="A123">
        <v>1117995368</v>
      </c>
      <c r="B123" t="s">
        <v>263</v>
      </c>
      <c r="C123" t="s">
        <v>1876</v>
      </c>
      <c r="D123" t="s">
        <v>1878</v>
      </c>
      <c r="E123" t="s">
        <v>1734</v>
      </c>
      <c r="F123" t="s">
        <v>1877</v>
      </c>
      <c r="G123" t="s">
        <v>1498</v>
      </c>
      <c r="H123" t="s">
        <v>1493</v>
      </c>
      <c r="I123" t="s">
        <v>2004</v>
      </c>
      <c r="J123">
        <v>2423</v>
      </c>
      <c r="K123" t="s">
        <v>2005</v>
      </c>
    </row>
    <row r="124" spans="1:11" x14ac:dyDescent="0.35">
      <c r="A124">
        <v>2170124</v>
      </c>
      <c r="B124" t="s">
        <v>268</v>
      </c>
      <c r="C124" t="s">
        <v>1972</v>
      </c>
      <c r="D124" t="s">
        <v>1482</v>
      </c>
      <c r="E124" t="s">
        <v>1915</v>
      </c>
      <c r="F124" t="s">
        <v>1481</v>
      </c>
      <c r="G124" t="s">
        <v>1439</v>
      </c>
      <c r="H124" t="s">
        <v>1433</v>
      </c>
      <c r="I124" t="s">
        <v>851</v>
      </c>
      <c r="J124">
        <v>2144</v>
      </c>
      <c r="K124" t="s">
        <v>854</v>
      </c>
    </row>
    <row r="125" spans="1:11" x14ac:dyDescent="0.35">
      <c r="A125">
        <v>2170124</v>
      </c>
      <c r="B125" t="s">
        <v>268</v>
      </c>
      <c r="C125" t="s">
        <v>1973</v>
      </c>
      <c r="D125" t="s">
        <v>1482</v>
      </c>
      <c r="E125" t="s">
        <v>1915</v>
      </c>
      <c r="F125" t="s">
        <v>1481</v>
      </c>
      <c r="G125" t="s">
        <v>1439</v>
      </c>
      <c r="H125" t="s">
        <v>1433</v>
      </c>
      <c r="I125" t="s">
        <v>851</v>
      </c>
      <c r="J125">
        <v>2144</v>
      </c>
      <c r="K125" t="s">
        <v>854</v>
      </c>
    </row>
    <row r="126" spans="1:11" x14ac:dyDescent="0.35">
      <c r="A126">
        <v>2170124</v>
      </c>
      <c r="B126" t="s">
        <v>268</v>
      </c>
      <c r="C126" t="s">
        <v>1938</v>
      </c>
      <c r="D126" t="s">
        <v>1443</v>
      </c>
      <c r="E126" t="s">
        <v>1915</v>
      </c>
      <c r="F126" t="s">
        <v>1434</v>
      </c>
      <c r="G126" t="s">
        <v>1439</v>
      </c>
      <c r="H126" t="s">
        <v>1433</v>
      </c>
      <c r="I126" t="s">
        <v>851</v>
      </c>
      <c r="J126">
        <v>2144</v>
      </c>
      <c r="K126" t="s">
        <v>854</v>
      </c>
    </row>
    <row r="127" spans="1:11" x14ac:dyDescent="0.35">
      <c r="A127">
        <v>1117975249</v>
      </c>
      <c r="B127" t="s">
        <v>638</v>
      </c>
      <c r="C127" t="s">
        <v>1819</v>
      </c>
      <c r="D127" t="s">
        <v>1821</v>
      </c>
      <c r="E127" t="s">
        <v>1734</v>
      </c>
      <c r="F127" t="s">
        <v>1820</v>
      </c>
      <c r="G127" t="s">
        <v>1498</v>
      </c>
      <c r="H127" t="s">
        <v>1493</v>
      </c>
      <c r="I127" t="s">
        <v>856</v>
      </c>
      <c r="J127">
        <v>1219</v>
      </c>
      <c r="K127" t="s">
        <v>2006</v>
      </c>
    </row>
    <row r="128" spans="1:11" x14ac:dyDescent="0.35">
      <c r="A128">
        <v>1117975249</v>
      </c>
      <c r="B128" t="s">
        <v>638</v>
      </c>
      <c r="C128" t="s">
        <v>1794</v>
      </c>
      <c r="D128" t="s">
        <v>1537</v>
      </c>
      <c r="E128" t="s">
        <v>1734</v>
      </c>
      <c r="F128" t="s">
        <v>1790</v>
      </c>
      <c r="G128" t="s">
        <v>1498</v>
      </c>
      <c r="H128" t="s">
        <v>1493</v>
      </c>
      <c r="I128" t="s">
        <v>856</v>
      </c>
      <c r="J128">
        <v>1219</v>
      </c>
      <c r="K128" t="s">
        <v>2006</v>
      </c>
    </row>
    <row r="129" spans="1:11" x14ac:dyDescent="0.35">
      <c r="A129">
        <v>1118028777</v>
      </c>
      <c r="B129" t="s">
        <v>281</v>
      </c>
      <c r="C129" t="s">
        <v>1741</v>
      </c>
      <c r="D129" t="s">
        <v>1501</v>
      </c>
      <c r="E129" t="s">
        <v>1734</v>
      </c>
      <c r="F129" t="s">
        <v>1500</v>
      </c>
      <c r="G129" t="s">
        <v>1498</v>
      </c>
      <c r="H129" t="s">
        <v>1493</v>
      </c>
      <c r="I129" t="s">
        <v>844</v>
      </c>
      <c r="J129">
        <v>5223</v>
      </c>
      <c r="K129" t="s">
        <v>679</v>
      </c>
    </row>
    <row r="130" spans="1:11" x14ac:dyDescent="0.35">
      <c r="A130">
        <v>1118028777</v>
      </c>
      <c r="B130" t="s">
        <v>281</v>
      </c>
      <c r="C130" t="s">
        <v>1504</v>
      </c>
      <c r="D130" t="s">
        <v>1925</v>
      </c>
      <c r="E130" t="s">
        <v>1734</v>
      </c>
      <c r="F130" t="s">
        <v>1748</v>
      </c>
      <c r="G130" t="s">
        <v>1498</v>
      </c>
      <c r="H130" t="s">
        <v>1493</v>
      </c>
      <c r="I130" t="s">
        <v>844</v>
      </c>
      <c r="J130">
        <v>5223</v>
      </c>
      <c r="K130" t="s">
        <v>679</v>
      </c>
    </row>
    <row r="131" spans="1:11" x14ac:dyDescent="0.35">
      <c r="A131">
        <v>1117977340</v>
      </c>
      <c r="B131" t="s">
        <v>287</v>
      </c>
      <c r="C131" t="s">
        <v>1974</v>
      </c>
      <c r="D131" t="s">
        <v>1482</v>
      </c>
      <c r="E131" t="s">
        <v>1915</v>
      </c>
      <c r="F131" t="s">
        <v>1481</v>
      </c>
      <c r="G131" t="s">
        <v>1439</v>
      </c>
      <c r="H131" t="s">
        <v>1433</v>
      </c>
      <c r="I131" t="s">
        <v>1996</v>
      </c>
      <c r="J131">
        <v>4312</v>
      </c>
      <c r="K131" t="s">
        <v>735</v>
      </c>
    </row>
    <row r="132" spans="1:11" x14ac:dyDescent="0.35">
      <c r="A132">
        <v>1117977340</v>
      </c>
      <c r="B132" t="s">
        <v>287</v>
      </c>
      <c r="C132" t="s">
        <v>1767</v>
      </c>
      <c r="D132" t="s">
        <v>1515</v>
      </c>
      <c r="E132" t="s">
        <v>1734</v>
      </c>
      <c r="F132" t="s">
        <v>1514</v>
      </c>
      <c r="G132" t="s">
        <v>1498</v>
      </c>
      <c r="H132" t="s">
        <v>1493</v>
      </c>
      <c r="I132" t="s">
        <v>1996</v>
      </c>
      <c r="J132">
        <v>4312</v>
      </c>
      <c r="K132" t="s">
        <v>735</v>
      </c>
    </row>
    <row r="133" spans="1:11" x14ac:dyDescent="0.35">
      <c r="A133">
        <v>1118028048</v>
      </c>
      <c r="B133" t="s">
        <v>293</v>
      </c>
      <c r="C133" t="s">
        <v>1975</v>
      </c>
      <c r="D133" t="s">
        <v>1976</v>
      </c>
      <c r="E133" t="s">
        <v>1915</v>
      </c>
      <c r="F133" t="s">
        <v>1645</v>
      </c>
      <c r="G133" t="s">
        <v>1439</v>
      </c>
      <c r="H133" t="s">
        <v>1433</v>
      </c>
      <c r="I133" t="s">
        <v>844</v>
      </c>
      <c r="J133">
        <v>5223</v>
      </c>
      <c r="K133" t="s">
        <v>679</v>
      </c>
    </row>
    <row r="134" spans="1:11" x14ac:dyDescent="0.35">
      <c r="A134">
        <v>1118028048</v>
      </c>
      <c r="B134" t="s">
        <v>293</v>
      </c>
      <c r="C134" t="s">
        <v>1513</v>
      </c>
      <c r="D134" t="s">
        <v>1515</v>
      </c>
      <c r="E134" t="s">
        <v>1734</v>
      </c>
      <c r="F134" t="s">
        <v>1514</v>
      </c>
      <c r="G134" t="s">
        <v>1498</v>
      </c>
      <c r="H134" t="s">
        <v>1493</v>
      </c>
      <c r="I134" t="s">
        <v>844</v>
      </c>
      <c r="J134">
        <v>5223</v>
      </c>
      <c r="K134" t="s">
        <v>679</v>
      </c>
    </row>
    <row r="135" spans="1:11" x14ac:dyDescent="0.35">
      <c r="A135">
        <v>1118028048</v>
      </c>
      <c r="B135" t="s">
        <v>293</v>
      </c>
      <c r="C135" t="s">
        <v>1539</v>
      </c>
      <c r="D135" t="s">
        <v>1541</v>
      </c>
      <c r="E135" t="s">
        <v>1734</v>
      </c>
      <c r="F135" t="s">
        <v>1540</v>
      </c>
      <c r="G135" t="s">
        <v>1498</v>
      </c>
      <c r="H135" t="s">
        <v>1493</v>
      </c>
      <c r="I135" t="s">
        <v>844</v>
      </c>
      <c r="J135">
        <v>5223</v>
      </c>
      <c r="K135" t="s">
        <v>679</v>
      </c>
    </row>
    <row r="136" spans="1:11" x14ac:dyDescent="0.35">
      <c r="A136">
        <v>1118028048</v>
      </c>
      <c r="B136" t="s">
        <v>293</v>
      </c>
      <c r="C136" t="s">
        <v>1757</v>
      </c>
      <c r="D136" t="s">
        <v>1753</v>
      </c>
      <c r="E136" t="s">
        <v>1734</v>
      </c>
      <c r="F136" t="s">
        <v>1752</v>
      </c>
      <c r="G136" t="s">
        <v>1498</v>
      </c>
      <c r="H136" t="s">
        <v>1493</v>
      </c>
      <c r="I136" t="s">
        <v>844</v>
      </c>
      <c r="J136">
        <v>5223</v>
      </c>
      <c r="K136" t="s">
        <v>679</v>
      </c>
    </row>
    <row r="137" spans="1:11" x14ac:dyDescent="0.35">
      <c r="A137">
        <v>1118028048</v>
      </c>
      <c r="B137" t="s">
        <v>293</v>
      </c>
      <c r="C137" t="s">
        <v>1543</v>
      </c>
      <c r="D137" t="s">
        <v>1545</v>
      </c>
      <c r="E137" t="s">
        <v>1734</v>
      </c>
      <c r="F137" t="s">
        <v>1544</v>
      </c>
      <c r="G137" t="s">
        <v>1498</v>
      </c>
      <c r="H137" t="s">
        <v>1493</v>
      </c>
      <c r="I137" t="s">
        <v>844</v>
      </c>
      <c r="J137">
        <v>5223</v>
      </c>
      <c r="K137" t="s">
        <v>679</v>
      </c>
    </row>
    <row r="138" spans="1:11" x14ac:dyDescent="0.35">
      <c r="A138">
        <v>1118028048</v>
      </c>
      <c r="B138" t="s">
        <v>293</v>
      </c>
      <c r="C138" t="s">
        <v>1547</v>
      </c>
      <c r="D138" t="s">
        <v>1548</v>
      </c>
      <c r="E138" t="s">
        <v>1734</v>
      </c>
      <c r="F138" t="s">
        <v>1544</v>
      </c>
      <c r="G138" t="s">
        <v>1498</v>
      </c>
      <c r="H138" t="s">
        <v>1493</v>
      </c>
      <c r="I138" t="s">
        <v>844</v>
      </c>
      <c r="J138">
        <v>5223</v>
      </c>
      <c r="K138" t="s">
        <v>679</v>
      </c>
    </row>
    <row r="139" spans="1:11" x14ac:dyDescent="0.35">
      <c r="A139">
        <v>1118009703</v>
      </c>
      <c r="B139" t="s">
        <v>298</v>
      </c>
      <c r="C139" t="s">
        <v>1938</v>
      </c>
      <c r="D139" t="s">
        <v>1443</v>
      </c>
      <c r="E139" t="s">
        <v>1915</v>
      </c>
      <c r="F139" t="s">
        <v>1434</v>
      </c>
      <c r="G139" t="s">
        <v>1439</v>
      </c>
      <c r="H139" t="s">
        <v>1433</v>
      </c>
      <c r="I139" t="s">
        <v>861</v>
      </c>
      <c r="J139">
        <v>4311</v>
      </c>
      <c r="K139" t="s">
        <v>864</v>
      </c>
    </row>
    <row r="140" spans="1:11" x14ac:dyDescent="0.35">
      <c r="A140">
        <v>1118009703</v>
      </c>
      <c r="B140" t="s">
        <v>298</v>
      </c>
      <c r="C140" t="s">
        <v>1977</v>
      </c>
      <c r="D140" t="s">
        <v>1623</v>
      </c>
      <c r="E140" t="s">
        <v>1915</v>
      </c>
      <c r="F140" t="s">
        <v>1445</v>
      </c>
      <c r="G140" t="s">
        <v>1439</v>
      </c>
      <c r="H140" t="s">
        <v>1433</v>
      </c>
      <c r="I140" t="s">
        <v>861</v>
      </c>
      <c r="J140">
        <v>4311</v>
      </c>
      <c r="K140" t="s">
        <v>864</v>
      </c>
    </row>
    <row r="141" spans="1:11" x14ac:dyDescent="0.35">
      <c r="A141">
        <v>1118009703</v>
      </c>
      <c r="B141" t="s">
        <v>298</v>
      </c>
      <c r="C141" t="s">
        <v>1978</v>
      </c>
      <c r="D141" t="s">
        <v>1970</v>
      </c>
      <c r="E141" t="s">
        <v>1915</v>
      </c>
      <c r="F141" t="s">
        <v>1453</v>
      </c>
      <c r="G141" t="s">
        <v>1439</v>
      </c>
      <c r="H141" t="s">
        <v>1433</v>
      </c>
      <c r="I141" t="s">
        <v>861</v>
      </c>
      <c r="J141">
        <v>4311</v>
      </c>
      <c r="K141" t="s">
        <v>864</v>
      </c>
    </row>
    <row r="142" spans="1:11" x14ac:dyDescent="0.35">
      <c r="A142">
        <v>1118009703</v>
      </c>
      <c r="B142" t="s">
        <v>298</v>
      </c>
      <c r="C142" t="s">
        <v>1979</v>
      </c>
      <c r="D142" t="s">
        <v>1970</v>
      </c>
      <c r="E142" t="s">
        <v>1915</v>
      </c>
      <c r="F142" t="s">
        <v>1453</v>
      </c>
      <c r="G142" t="s">
        <v>1439</v>
      </c>
      <c r="H142" t="s">
        <v>1433</v>
      </c>
      <c r="I142" t="s">
        <v>861</v>
      </c>
      <c r="J142">
        <v>4311</v>
      </c>
      <c r="K142" t="s">
        <v>864</v>
      </c>
    </row>
    <row r="143" spans="1:11" x14ac:dyDescent="0.35">
      <c r="A143">
        <v>1118009703</v>
      </c>
      <c r="B143" t="s">
        <v>298</v>
      </c>
      <c r="C143" t="s">
        <v>1980</v>
      </c>
      <c r="D143" t="s">
        <v>1537</v>
      </c>
      <c r="E143" t="s">
        <v>1734</v>
      </c>
      <c r="F143" t="s">
        <v>1790</v>
      </c>
      <c r="G143" t="s">
        <v>1498</v>
      </c>
      <c r="H143" t="s">
        <v>1493</v>
      </c>
      <c r="I143" t="s">
        <v>861</v>
      </c>
      <c r="J143">
        <v>4311</v>
      </c>
      <c r="K143" t="s">
        <v>864</v>
      </c>
    </row>
    <row r="144" spans="1:11" x14ac:dyDescent="0.35">
      <c r="A144">
        <v>1118009703</v>
      </c>
      <c r="B144" t="s">
        <v>298</v>
      </c>
      <c r="C144" t="s">
        <v>1981</v>
      </c>
      <c r="D144" t="s">
        <v>1872</v>
      </c>
      <c r="E144" t="s">
        <v>1649</v>
      </c>
      <c r="F144" t="s">
        <v>1871</v>
      </c>
      <c r="G144" t="s">
        <v>1498</v>
      </c>
      <c r="H144" t="s">
        <v>1917</v>
      </c>
      <c r="I144" t="s">
        <v>861</v>
      </c>
      <c r="J144">
        <v>4311</v>
      </c>
      <c r="K144" t="s">
        <v>864</v>
      </c>
    </row>
    <row r="145" spans="1:11" x14ac:dyDescent="0.35">
      <c r="A145">
        <v>1118009703</v>
      </c>
      <c r="B145" t="s">
        <v>298</v>
      </c>
      <c r="C145" t="s">
        <v>1982</v>
      </c>
      <c r="D145" t="s">
        <v>1787</v>
      </c>
      <c r="E145" t="s">
        <v>1734</v>
      </c>
      <c r="F145" t="s">
        <v>1942</v>
      </c>
      <c r="G145" t="s">
        <v>1498</v>
      </c>
      <c r="H145" t="s">
        <v>1493</v>
      </c>
      <c r="I145" t="s">
        <v>861</v>
      </c>
      <c r="J145">
        <v>4311</v>
      </c>
      <c r="K145" t="s">
        <v>864</v>
      </c>
    </row>
    <row r="146" spans="1:11" x14ac:dyDescent="0.35">
      <c r="A146">
        <v>1118009703</v>
      </c>
      <c r="B146" t="s">
        <v>298</v>
      </c>
      <c r="C146" t="s">
        <v>1983</v>
      </c>
      <c r="D146" t="s">
        <v>1541</v>
      </c>
      <c r="E146" t="s">
        <v>1734</v>
      </c>
      <c r="F146" t="s">
        <v>1540</v>
      </c>
      <c r="G146" t="s">
        <v>1498</v>
      </c>
      <c r="H146" t="s">
        <v>1493</v>
      </c>
      <c r="I146" t="s">
        <v>861</v>
      </c>
      <c r="J146">
        <v>4311</v>
      </c>
      <c r="K146" t="s">
        <v>864</v>
      </c>
    </row>
    <row r="147" spans="1:11" x14ac:dyDescent="0.35">
      <c r="A147">
        <v>1118009703</v>
      </c>
      <c r="B147" t="s">
        <v>298</v>
      </c>
      <c r="C147" t="s">
        <v>1984</v>
      </c>
      <c r="D147" t="s">
        <v>1495</v>
      </c>
      <c r="E147" t="s">
        <v>1734</v>
      </c>
      <c r="F147" t="s">
        <v>1494</v>
      </c>
      <c r="G147" t="s">
        <v>1498</v>
      </c>
      <c r="H147" t="s">
        <v>1493</v>
      </c>
      <c r="I147" t="s">
        <v>861</v>
      </c>
      <c r="J147">
        <v>4311</v>
      </c>
      <c r="K147" t="s">
        <v>864</v>
      </c>
    </row>
    <row r="148" spans="1:11" x14ac:dyDescent="0.35">
      <c r="A148">
        <v>1118027243</v>
      </c>
      <c r="B148" t="s">
        <v>23</v>
      </c>
      <c r="C148" t="s">
        <v>2007</v>
      </c>
      <c r="D148" t="s">
        <v>2008</v>
      </c>
      <c r="E148" t="s">
        <v>2008</v>
      </c>
      <c r="F148" t="s">
        <v>2008</v>
      </c>
      <c r="G148" t="s">
        <v>2008</v>
      </c>
      <c r="H148" t="s">
        <v>2008</v>
      </c>
      <c r="I148" t="s">
        <v>688</v>
      </c>
      <c r="J148">
        <v>2611</v>
      </c>
      <c r="K148" t="s">
        <v>691</v>
      </c>
    </row>
    <row r="149" spans="1:11" x14ac:dyDescent="0.35">
      <c r="A149">
        <v>1118028027</v>
      </c>
      <c r="B149" t="s">
        <v>59</v>
      </c>
      <c r="C149" t="s">
        <v>2007</v>
      </c>
      <c r="D149" t="s">
        <v>2008</v>
      </c>
      <c r="E149" t="s">
        <v>2008</v>
      </c>
      <c r="F149" t="s">
        <v>2008</v>
      </c>
      <c r="G149" t="s">
        <v>2008</v>
      </c>
      <c r="H149" t="s">
        <v>2008</v>
      </c>
      <c r="I149" t="s">
        <v>2009</v>
      </c>
      <c r="J149">
        <v>8341</v>
      </c>
      <c r="K149" t="s">
        <v>720</v>
      </c>
    </row>
    <row r="150" spans="1:11" x14ac:dyDescent="0.35">
      <c r="A150">
        <v>1118028657</v>
      </c>
      <c r="B150" t="s">
        <v>445</v>
      </c>
      <c r="C150" t="s">
        <v>2007</v>
      </c>
      <c r="D150" t="s">
        <v>2008</v>
      </c>
      <c r="E150" t="s">
        <v>2008</v>
      </c>
      <c r="F150" t="s">
        <v>2008</v>
      </c>
      <c r="G150" t="s">
        <v>2008</v>
      </c>
      <c r="H150" t="s">
        <v>2008</v>
      </c>
      <c r="I150" t="s">
        <v>445</v>
      </c>
      <c r="J150">
        <v>4226</v>
      </c>
      <c r="K150" t="s">
        <v>739</v>
      </c>
    </row>
    <row r="151" spans="1:11" x14ac:dyDescent="0.35">
      <c r="A151">
        <v>1118009739</v>
      </c>
      <c r="B151" t="s">
        <v>517</v>
      </c>
      <c r="C151" t="s">
        <v>2007</v>
      </c>
      <c r="D151" t="s">
        <v>2008</v>
      </c>
      <c r="E151" t="s">
        <v>2008</v>
      </c>
      <c r="F151" t="s">
        <v>2008</v>
      </c>
      <c r="G151" t="s">
        <v>2008</v>
      </c>
      <c r="H151" t="s">
        <v>2008</v>
      </c>
      <c r="I151" t="s">
        <v>741</v>
      </c>
      <c r="J151">
        <v>4110</v>
      </c>
      <c r="K151" t="s">
        <v>744</v>
      </c>
    </row>
    <row r="152" spans="1:11" x14ac:dyDescent="0.35">
      <c r="A152">
        <v>1118025956</v>
      </c>
      <c r="B152" t="s">
        <v>178</v>
      </c>
      <c r="C152" t="s">
        <v>2007</v>
      </c>
      <c r="D152" t="s">
        <v>2008</v>
      </c>
      <c r="E152" t="s">
        <v>2008</v>
      </c>
      <c r="F152" t="s">
        <v>2008</v>
      </c>
      <c r="G152" t="s">
        <v>2008</v>
      </c>
      <c r="H152" t="s">
        <v>2008</v>
      </c>
      <c r="I152" t="s">
        <v>799</v>
      </c>
      <c r="J152">
        <v>6113</v>
      </c>
      <c r="K152" t="s">
        <v>2010</v>
      </c>
    </row>
    <row r="153" spans="1:11" x14ac:dyDescent="0.35">
      <c r="A153">
        <v>1118023904</v>
      </c>
      <c r="B153" t="s">
        <v>576</v>
      </c>
      <c r="C153" t="s">
        <v>2007</v>
      </c>
      <c r="D153" t="s">
        <v>2008</v>
      </c>
      <c r="E153" t="s">
        <v>2008</v>
      </c>
      <c r="F153" t="s">
        <v>2008</v>
      </c>
      <c r="G153" t="s">
        <v>2008</v>
      </c>
      <c r="H153" t="s">
        <v>2008</v>
      </c>
      <c r="I153" t="s">
        <v>819</v>
      </c>
      <c r="J153">
        <v>9334</v>
      </c>
      <c r="K153" t="s">
        <v>822</v>
      </c>
    </row>
    <row r="154" spans="1:11" x14ac:dyDescent="0.35">
      <c r="A154">
        <v>1117980907</v>
      </c>
      <c r="B154" t="s">
        <v>582</v>
      </c>
      <c r="C154" t="s">
        <v>2007</v>
      </c>
      <c r="D154" t="s">
        <v>2008</v>
      </c>
      <c r="E154" t="s">
        <v>2008</v>
      </c>
      <c r="F154" t="s">
        <v>2008</v>
      </c>
      <c r="G154" t="s">
        <v>2008</v>
      </c>
      <c r="H154" t="s">
        <v>2008</v>
      </c>
      <c r="I154" t="s">
        <v>2011</v>
      </c>
      <c r="J154">
        <v>9333</v>
      </c>
      <c r="K154" t="s">
        <v>827</v>
      </c>
    </row>
    <row r="155" spans="1:11" x14ac:dyDescent="0.35">
      <c r="A155">
        <v>1117990944</v>
      </c>
      <c r="B155" t="s">
        <v>221</v>
      </c>
      <c r="C155" t="s">
        <v>2007</v>
      </c>
      <c r="D155" t="s">
        <v>2008</v>
      </c>
      <c r="E155" t="s">
        <v>2008</v>
      </c>
      <c r="F155" t="s">
        <v>2008</v>
      </c>
      <c r="G155" t="s">
        <v>2008</v>
      </c>
      <c r="H155" t="s">
        <v>2008</v>
      </c>
      <c r="I155" t="s">
        <v>819</v>
      </c>
      <c r="J155">
        <v>9334</v>
      </c>
      <c r="K155" t="s">
        <v>822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6096D-A21C-4745-93BE-05A7BB655682}">
  <sheetPr>
    <tabColor rgb="FF4CAF50"/>
  </sheetPr>
  <dimension ref="A1:C95"/>
  <sheetViews>
    <sheetView workbookViewId="0">
      <selection activeCell="B20" sqref="B20"/>
    </sheetView>
  </sheetViews>
  <sheetFormatPr baseColWidth="10" defaultRowHeight="14.5" x14ac:dyDescent="0.35"/>
  <cols>
    <col min="1" max="1" width="49.7265625" bestFit="1" customWidth="1"/>
    <col min="2" max="2" width="95.26953125" customWidth="1"/>
    <col min="3" max="3" width="60" bestFit="1" customWidth="1"/>
  </cols>
  <sheetData>
    <row r="1" spans="1:3" ht="18.5" x14ac:dyDescent="0.45">
      <c r="A1" s="84" t="s">
        <v>2012</v>
      </c>
    </row>
    <row r="3" spans="1:3" x14ac:dyDescent="0.35">
      <c r="A3" s="71" t="s">
        <v>2013</v>
      </c>
      <c r="B3" s="71" t="s">
        <v>2014</v>
      </c>
    </row>
    <row r="4" spans="1:3" x14ac:dyDescent="0.35">
      <c r="A4" s="26" t="s">
        <v>1913</v>
      </c>
      <c r="B4" t="s">
        <v>2015</v>
      </c>
    </row>
    <row r="5" spans="1:3" x14ac:dyDescent="0.35">
      <c r="A5" s="26" t="s">
        <v>1429</v>
      </c>
      <c r="B5" t="s">
        <v>2016</v>
      </c>
    </row>
    <row r="6" spans="1:3" x14ac:dyDescent="0.35">
      <c r="A6" s="26" t="s">
        <v>995</v>
      </c>
      <c r="B6" t="s">
        <v>2017</v>
      </c>
    </row>
    <row r="7" spans="1:3" x14ac:dyDescent="0.35">
      <c r="A7" s="26" t="s">
        <v>1431</v>
      </c>
      <c r="B7" t="s">
        <v>2018</v>
      </c>
    </row>
    <row r="8" spans="1:3" x14ac:dyDescent="0.35">
      <c r="A8" s="26" t="s">
        <v>1914</v>
      </c>
      <c r="B8" t="s">
        <v>2019</v>
      </c>
    </row>
    <row r="11" spans="1:3" ht="15.5" x14ac:dyDescent="0.35">
      <c r="A11" s="72" t="s">
        <v>2020</v>
      </c>
      <c r="B11" s="73"/>
      <c r="C11" s="73"/>
    </row>
    <row r="13" spans="1:3" x14ac:dyDescent="0.35">
      <c r="A13" s="74" t="s">
        <v>2021</v>
      </c>
      <c r="B13" s="74" t="s">
        <v>978</v>
      </c>
      <c r="C13" s="74" t="s">
        <v>2022</v>
      </c>
    </row>
    <row r="14" spans="1:3" x14ac:dyDescent="0.35">
      <c r="A14" t="s">
        <v>1570</v>
      </c>
      <c r="B14" t="s">
        <v>2023</v>
      </c>
      <c r="C14" t="s">
        <v>2024</v>
      </c>
    </row>
    <row r="15" spans="1:3" x14ac:dyDescent="0.35">
      <c r="A15" t="s">
        <v>1834</v>
      </c>
      <c r="B15" t="s">
        <v>2025</v>
      </c>
      <c r="C15" t="s">
        <v>2026</v>
      </c>
    </row>
    <row r="16" spans="1:3" x14ac:dyDescent="0.35">
      <c r="A16" t="s">
        <v>1649</v>
      </c>
      <c r="B16" t="s">
        <v>2027</v>
      </c>
      <c r="C16" t="s">
        <v>2028</v>
      </c>
    </row>
    <row r="17" spans="1:3" x14ac:dyDescent="0.35">
      <c r="A17" t="s">
        <v>1915</v>
      </c>
      <c r="B17" t="s">
        <v>2029</v>
      </c>
      <c r="C17" t="s">
        <v>2030</v>
      </c>
    </row>
    <row r="18" spans="1:3" x14ac:dyDescent="0.35">
      <c r="A18" t="s">
        <v>1666</v>
      </c>
      <c r="B18" t="s">
        <v>2031</v>
      </c>
      <c r="C18" t="s">
        <v>2032</v>
      </c>
    </row>
    <row r="19" spans="1:3" x14ac:dyDescent="0.35">
      <c r="A19" t="s">
        <v>1734</v>
      </c>
      <c r="B19" t="s">
        <v>2033</v>
      </c>
      <c r="C19" t="s">
        <v>2034</v>
      </c>
    </row>
    <row r="20" spans="1:3" x14ac:dyDescent="0.35">
      <c r="A20" t="s">
        <v>1565</v>
      </c>
      <c r="B20" t="s">
        <v>2035</v>
      </c>
      <c r="C20" t="s">
        <v>2036</v>
      </c>
    </row>
    <row r="21" spans="1:3" x14ac:dyDescent="0.35">
      <c r="A21" t="s">
        <v>2008</v>
      </c>
      <c r="B21" t="s">
        <v>2037</v>
      </c>
      <c r="C21" t="s">
        <v>2038</v>
      </c>
    </row>
    <row r="24" spans="1:3" x14ac:dyDescent="0.35">
      <c r="A24" s="85" t="s">
        <v>2039</v>
      </c>
      <c r="B24" s="85" t="s">
        <v>2040</v>
      </c>
      <c r="C24" s="85" t="s">
        <v>2041</v>
      </c>
    </row>
    <row r="25" spans="1:3" x14ac:dyDescent="0.35">
      <c r="A25" t="s">
        <v>1434</v>
      </c>
      <c r="B25" t="s">
        <v>1915</v>
      </c>
      <c r="C25" t="s">
        <v>2042</v>
      </c>
    </row>
    <row r="26" spans="1:3" x14ac:dyDescent="0.35">
      <c r="A26" t="s">
        <v>1616</v>
      </c>
      <c r="B26" t="s">
        <v>1915</v>
      </c>
      <c r="C26" t="s">
        <v>2043</v>
      </c>
    </row>
    <row r="27" spans="1:3" x14ac:dyDescent="0.35">
      <c r="A27" t="s">
        <v>1445</v>
      </c>
      <c r="B27" t="s">
        <v>1915</v>
      </c>
      <c r="C27" t="s">
        <v>2044</v>
      </c>
    </row>
    <row r="28" spans="1:3" x14ac:dyDescent="0.35">
      <c r="A28" t="s">
        <v>1448</v>
      </c>
      <c r="B28" t="s">
        <v>1915</v>
      </c>
      <c r="C28" t="s">
        <v>2045</v>
      </c>
    </row>
    <row r="29" spans="1:3" x14ac:dyDescent="0.35">
      <c r="A29" t="s">
        <v>1453</v>
      </c>
      <c r="B29" t="s">
        <v>1915</v>
      </c>
      <c r="C29" t="s">
        <v>2046</v>
      </c>
    </row>
    <row r="30" spans="1:3" x14ac:dyDescent="0.35">
      <c r="A30" t="s">
        <v>1577</v>
      </c>
      <c r="B30" t="s">
        <v>1915</v>
      </c>
      <c r="C30" t="s">
        <v>2047</v>
      </c>
    </row>
    <row r="31" spans="1:3" x14ac:dyDescent="0.35">
      <c r="A31" t="s">
        <v>1460</v>
      </c>
      <c r="B31" t="s">
        <v>1915</v>
      </c>
      <c r="C31" t="s">
        <v>2048</v>
      </c>
    </row>
    <row r="32" spans="1:3" x14ac:dyDescent="0.35">
      <c r="A32" t="s">
        <v>1489</v>
      </c>
      <c r="B32" t="s">
        <v>1915</v>
      </c>
      <c r="C32" t="s">
        <v>2049</v>
      </c>
    </row>
    <row r="33" spans="1:3" x14ac:dyDescent="0.35">
      <c r="A33" t="s">
        <v>1640</v>
      </c>
      <c r="B33" t="s">
        <v>1915</v>
      </c>
      <c r="C33" t="s">
        <v>2050</v>
      </c>
    </row>
    <row r="34" spans="1:3" x14ac:dyDescent="0.35">
      <c r="A34" t="s">
        <v>1481</v>
      </c>
      <c r="B34" t="s">
        <v>1915</v>
      </c>
      <c r="C34" t="s">
        <v>2051</v>
      </c>
    </row>
    <row r="35" spans="1:3" x14ac:dyDescent="0.35">
      <c r="A35" t="s">
        <v>1476</v>
      </c>
      <c r="B35" t="s">
        <v>1915</v>
      </c>
      <c r="C35" t="s">
        <v>2052</v>
      </c>
    </row>
    <row r="36" spans="1:3" x14ac:dyDescent="0.35">
      <c r="A36" t="s">
        <v>1645</v>
      </c>
      <c r="B36" t="s">
        <v>1915</v>
      </c>
      <c r="C36" t="s">
        <v>2053</v>
      </c>
    </row>
    <row r="37" spans="1:3" x14ac:dyDescent="0.35">
      <c r="A37" t="s">
        <v>1567</v>
      </c>
      <c r="B37" t="s">
        <v>1570</v>
      </c>
      <c r="C37" t="s">
        <v>2054</v>
      </c>
    </row>
    <row r="38" spans="1:3" x14ac:dyDescent="0.35">
      <c r="A38" t="s">
        <v>1551</v>
      </c>
      <c r="B38" t="s">
        <v>1649</v>
      </c>
      <c r="C38" t="s">
        <v>2055</v>
      </c>
    </row>
    <row r="39" spans="1:3" x14ac:dyDescent="0.35">
      <c r="A39" t="s">
        <v>1555</v>
      </c>
      <c r="B39" t="s">
        <v>1649</v>
      </c>
      <c r="C39" t="s">
        <v>2056</v>
      </c>
    </row>
    <row r="40" spans="1:3" x14ac:dyDescent="0.35">
      <c r="A40" t="s">
        <v>1583</v>
      </c>
      <c r="B40" t="s">
        <v>1649</v>
      </c>
      <c r="C40" t="s">
        <v>2057</v>
      </c>
    </row>
    <row r="41" spans="1:3" x14ac:dyDescent="0.35">
      <c r="A41" t="s">
        <v>1871</v>
      </c>
      <c r="B41" t="s">
        <v>1649</v>
      </c>
      <c r="C41" t="s">
        <v>2058</v>
      </c>
    </row>
    <row r="42" spans="1:3" x14ac:dyDescent="0.35">
      <c r="A42" t="s">
        <v>1562</v>
      </c>
      <c r="B42" t="s">
        <v>1666</v>
      </c>
      <c r="C42" t="s">
        <v>2059</v>
      </c>
    </row>
    <row r="43" spans="1:3" x14ac:dyDescent="0.35">
      <c r="A43" t="s">
        <v>1558</v>
      </c>
      <c r="B43" t="s">
        <v>1666</v>
      </c>
      <c r="C43" t="s">
        <v>2060</v>
      </c>
    </row>
    <row r="44" spans="1:3" x14ac:dyDescent="0.35">
      <c r="A44" t="s">
        <v>1683</v>
      </c>
      <c r="B44" t="s">
        <v>1666</v>
      </c>
      <c r="C44" t="s">
        <v>2061</v>
      </c>
    </row>
    <row r="45" spans="1:3" x14ac:dyDescent="0.35">
      <c r="A45" t="s">
        <v>1587</v>
      </c>
      <c r="B45" t="s">
        <v>1915</v>
      </c>
      <c r="C45" t="s">
        <v>2062</v>
      </c>
    </row>
    <row r="46" spans="1:3" x14ac:dyDescent="0.35">
      <c r="A46" t="s">
        <v>1494</v>
      </c>
      <c r="B46" t="s">
        <v>1734</v>
      </c>
      <c r="C46" t="s">
        <v>2063</v>
      </c>
    </row>
    <row r="47" spans="1:3" x14ac:dyDescent="0.35">
      <c r="A47" t="s">
        <v>1500</v>
      </c>
      <c r="B47" t="s">
        <v>1734</v>
      </c>
      <c r="C47" t="s">
        <v>2064</v>
      </c>
    </row>
    <row r="48" spans="1:3" x14ac:dyDescent="0.35">
      <c r="A48" t="s">
        <v>1509</v>
      </c>
      <c r="B48" t="s">
        <v>1734</v>
      </c>
      <c r="C48" t="s">
        <v>2065</v>
      </c>
    </row>
    <row r="49" spans="1:3" x14ac:dyDescent="0.35">
      <c r="A49" t="s">
        <v>1514</v>
      </c>
      <c r="B49" t="s">
        <v>1734</v>
      </c>
      <c r="C49" t="s">
        <v>2066</v>
      </c>
    </row>
    <row r="50" spans="1:3" x14ac:dyDescent="0.35">
      <c r="A50" t="s">
        <v>1774</v>
      </c>
      <c r="B50" t="s">
        <v>1734</v>
      </c>
      <c r="C50" t="s">
        <v>2067</v>
      </c>
    </row>
    <row r="51" spans="1:3" x14ac:dyDescent="0.35">
      <c r="A51" t="s">
        <v>1942</v>
      </c>
      <c r="B51" t="s">
        <v>1734</v>
      </c>
      <c r="C51" t="s">
        <v>2068</v>
      </c>
    </row>
    <row r="52" spans="1:3" x14ac:dyDescent="0.35">
      <c r="A52" t="s">
        <v>1790</v>
      </c>
      <c r="B52" t="s">
        <v>1734</v>
      </c>
      <c r="C52" t="s">
        <v>2069</v>
      </c>
    </row>
    <row r="53" spans="1:3" x14ac:dyDescent="0.35">
      <c r="A53" t="s">
        <v>1540</v>
      </c>
      <c r="B53" t="s">
        <v>1734</v>
      </c>
      <c r="C53" t="s">
        <v>2070</v>
      </c>
    </row>
    <row r="54" spans="1:3" x14ac:dyDescent="0.35">
      <c r="A54" t="s">
        <v>1522</v>
      </c>
      <c r="B54" t="s">
        <v>1734</v>
      </c>
      <c r="C54" t="s">
        <v>2071</v>
      </c>
    </row>
    <row r="55" spans="1:3" x14ac:dyDescent="0.35">
      <c r="A55" t="s">
        <v>1820</v>
      </c>
      <c r="B55" t="s">
        <v>1734</v>
      </c>
      <c r="C55" t="s">
        <v>2072</v>
      </c>
    </row>
    <row r="56" spans="1:3" x14ac:dyDescent="0.35">
      <c r="A56" t="s">
        <v>1825</v>
      </c>
      <c r="B56" t="s">
        <v>1734</v>
      </c>
      <c r="C56" t="s">
        <v>2073</v>
      </c>
    </row>
    <row r="57" spans="1:3" x14ac:dyDescent="0.35">
      <c r="A57" t="s">
        <v>1949</v>
      </c>
      <c r="B57" t="s">
        <v>1734</v>
      </c>
      <c r="C57" t="s">
        <v>2074</v>
      </c>
    </row>
    <row r="58" spans="1:3" x14ac:dyDescent="0.35">
      <c r="A58" t="s">
        <v>1748</v>
      </c>
      <c r="B58" t="s">
        <v>1734</v>
      </c>
      <c r="C58" t="s">
        <v>2075</v>
      </c>
    </row>
    <row r="59" spans="1:3" x14ac:dyDescent="0.35">
      <c r="A59" t="s">
        <v>1752</v>
      </c>
      <c r="B59" t="s">
        <v>1734</v>
      </c>
      <c r="C59" t="s">
        <v>2076</v>
      </c>
    </row>
    <row r="60" spans="1:3" x14ac:dyDescent="0.35">
      <c r="A60" t="s">
        <v>1544</v>
      </c>
      <c r="B60" t="s">
        <v>1734</v>
      </c>
      <c r="C60" t="s">
        <v>2077</v>
      </c>
    </row>
    <row r="61" spans="1:3" x14ac:dyDescent="0.35">
      <c r="A61" t="s">
        <v>1850</v>
      </c>
      <c r="B61" t="s">
        <v>1734</v>
      </c>
      <c r="C61" t="s">
        <v>2078</v>
      </c>
    </row>
    <row r="62" spans="1:3" x14ac:dyDescent="0.35">
      <c r="A62" t="s">
        <v>1856</v>
      </c>
      <c r="B62" t="s">
        <v>1734</v>
      </c>
      <c r="C62" t="s">
        <v>2079</v>
      </c>
    </row>
    <row r="63" spans="1:3" x14ac:dyDescent="0.35">
      <c r="A63" t="s">
        <v>1862</v>
      </c>
      <c r="B63" t="s">
        <v>1734</v>
      </c>
      <c r="C63" t="s">
        <v>2080</v>
      </c>
    </row>
    <row r="64" spans="1:3" x14ac:dyDescent="0.35">
      <c r="A64" t="s">
        <v>1877</v>
      </c>
      <c r="B64" t="s">
        <v>1734</v>
      </c>
      <c r="C64" t="s">
        <v>2081</v>
      </c>
    </row>
    <row r="65" spans="1:3" x14ac:dyDescent="0.35">
      <c r="A65" t="s">
        <v>1921</v>
      </c>
      <c r="B65" t="s">
        <v>1834</v>
      </c>
      <c r="C65" t="s">
        <v>2082</v>
      </c>
    </row>
    <row r="66" spans="1:3" x14ac:dyDescent="0.35">
      <c r="A66" t="s">
        <v>1923</v>
      </c>
      <c r="B66" t="s">
        <v>1834</v>
      </c>
      <c r="C66" t="s">
        <v>2083</v>
      </c>
    </row>
    <row r="67" spans="1:3" x14ac:dyDescent="0.35">
      <c r="A67" t="s">
        <v>2008</v>
      </c>
      <c r="B67" t="s">
        <v>2038</v>
      </c>
      <c r="C67" t="s">
        <v>2037</v>
      </c>
    </row>
    <row r="70" spans="1:3" x14ac:dyDescent="0.35">
      <c r="A70" s="86" t="s">
        <v>2084</v>
      </c>
      <c r="B70" s="86" t="s">
        <v>978</v>
      </c>
    </row>
    <row r="71" spans="1:3" x14ac:dyDescent="0.35">
      <c r="A71" t="s">
        <v>1439</v>
      </c>
      <c r="B71" t="s">
        <v>2085</v>
      </c>
    </row>
    <row r="72" spans="1:3" x14ac:dyDescent="0.35">
      <c r="A72" t="s">
        <v>1498</v>
      </c>
      <c r="B72" t="s">
        <v>2086</v>
      </c>
    </row>
    <row r="73" spans="1:3" x14ac:dyDescent="0.35">
      <c r="A73" t="s">
        <v>2008</v>
      </c>
      <c r="B73" t="s">
        <v>2037</v>
      </c>
    </row>
    <row r="76" spans="1:3" x14ac:dyDescent="0.35">
      <c r="A76" s="87" t="s">
        <v>2087</v>
      </c>
      <c r="B76" s="87" t="s">
        <v>978</v>
      </c>
    </row>
    <row r="77" spans="1:3" x14ac:dyDescent="0.35">
      <c r="A77" t="s">
        <v>1433</v>
      </c>
      <c r="B77" t="s">
        <v>2088</v>
      </c>
    </row>
    <row r="78" spans="1:3" x14ac:dyDescent="0.35">
      <c r="A78" t="s">
        <v>1493</v>
      </c>
      <c r="B78" t="s">
        <v>2089</v>
      </c>
    </row>
    <row r="79" spans="1:3" x14ac:dyDescent="0.35">
      <c r="A79" t="s">
        <v>1917</v>
      </c>
      <c r="B79" t="s">
        <v>2090</v>
      </c>
    </row>
    <row r="80" spans="1:3" x14ac:dyDescent="0.35">
      <c r="A80" t="s">
        <v>1922</v>
      </c>
      <c r="B80" t="s">
        <v>2091</v>
      </c>
    </row>
    <row r="81" spans="1:2" x14ac:dyDescent="0.35">
      <c r="A81" t="s">
        <v>1458</v>
      </c>
      <c r="B81" t="s">
        <v>2092</v>
      </c>
    </row>
    <row r="82" spans="1:2" x14ac:dyDescent="0.35">
      <c r="A82" t="s">
        <v>1475</v>
      </c>
      <c r="B82" t="s">
        <v>2093</v>
      </c>
    </row>
    <row r="83" spans="1:2" x14ac:dyDescent="0.35">
      <c r="A83" t="s">
        <v>2008</v>
      </c>
      <c r="B83" t="s">
        <v>2037</v>
      </c>
    </row>
    <row r="86" spans="1:2" ht="15.5" x14ac:dyDescent="0.35">
      <c r="A86" s="72" t="s">
        <v>2094</v>
      </c>
      <c r="B86" s="73"/>
    </row>
    <row r="88" spans="1:2" x14ac:dyDescent="0.35">
      <c r="A88" s="26" t="s">
        <v>2095</v>
      </c>
      <c r="B88" t="s">
        <v>2096</v>
      </c>
    </row>
    <row r="89" spans="1:2" x14ac:dyDescent="0.35">
      <c r="A89" s="26" t="s">
        <v>2097</v>
      </c>
      <c r="B89" t="s">
        <v>2098</v>
      </c>
    </row>
    <row r="90" spans="1:2" x14ac:dyDescent="0.35">
      <c r="A90" s="26" t="s">
        <v>2099</v>
      </c>
      <c r="B90" t="s">
        <v>2100</v>
      </c>
    </row>
    <row r="91" spans="1:2" x14ac:dyDescent="0.35">
      <c r="A91" s="26" t="s">
        <v>2101</v>
      </c>
      <c r="B91" t="s">
        <v>2102</v>
      </c>
    </row>
    <row r="92" spans="1:2" x14ac:dyDescent="0.35">
      <c r="A92" s="26" t="s">
        <v>2103</v>
      </c>
      <c r="B92" t="s">
        <v>2104</v>
      </c>
    </row>
    <row r="93" spans="1:2" x14ac:dyDescent="0.35">
      <c r="A93" s="26" t="s">
        <v>2105</v>
      </c>
      <c r="B93" t="s">
        <v>2106</v>
      </c>
    </row>
    <row r="94" spans="1:2" x14ac:dyDescent="0.35">
      <c r="A94" s="26" t="s">
        <v>2107</v>
      </c>
      <c r="B94" t="s">
        <v>2108</v>
      </c>
    </row>
    <row r="95" spans="1:2" x14ac:dyDescent="0.35">
      <c r="A95" s="26" t="s">
        <v>2109</v>
      </c>
      <c r="B95" t="s">
        <v>2110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6D161-08DD-4D32-A1AE-4384A226F79E}">
  <sheetPr>
    <tabColor rgb="FF1565C0"/>
  </sheetPr>
  <dimension ref="A1:H62"/>
  <sheetViews>
    <sheetView zoomScale="90" zoomScaleNormal="90" workbookViewId="0">
      <selection activeCell="C20" sqref="C20"/>
    </sheetView>
  </sheetViews>
  <sheetFormatPr baseColWidth="10" defaultRowHeight="14.5" x14ac:dyDescent="0.35"/>
  <cols>
    <col min="1" max="1" width="86.08984375" customWidth="1"/>
    <col min="2" max="2" width="42.453125" bestFit="1" customWidth="1"/>
    <col min="3" max="3" width="7.54296875" bestFit="1" customWidth="1"/>
    <col min="4" max="4" width="21.54296875" bestFit="1" customWidth="1"/>
    <col min="5" max="5" width="37.453125" bestFit="1" customWidth="1"/>
    <col min="6" max="6" width="8.81640625" bestFit="1" customWidth="1"/>
    <col min="7" max="7" width="20.453125" bestFit="1" customWidth="1"/>
    <col min="8" max="8" width="4.1796875" bestFit="1" customWidth="1"/>
  </cols>
  <sheetData>
    <row r="1" spans="1:8" ht="21" x14ac:dyDescent="0.5">
      <c r="A1" s="88" t="s">
        <v>2111</v>
      </c>
      <c r="B1" s="73"/>
      <c r="C1" s="73"/>
      <c r="D1" s="73"/>
      <c r="E1" s="73"/>
      <c r="F1" s="73"/>
      <c r="G1" s="73"/>
      <c r="H1" s="73"/>
    </row>
    <row r="2" spans="1:8" x14ac:dyDescent="0.35">
      <c r="A2" s="89" t="s">
        <v>2112</v>
      </c>
      <c r="B2" s="90"/>
      <c r="C2" s="90"/>
      <c r="D2" s="90"/>
      <c r="E2" s="90"/>
      <c r="F2" s="90"/>
      <c r="G2" s="90"/>
      <c r="H2" s="90"/>
    </row>
    <row r="4" spans="1:8" x14ac:dyDescent="0.35">
      <c r="A4" s="83" t="s">
        <v>2113</v>
      </c>
      <c r="B4" s="91"/>
      <c r="C4" s="91"/>
      <c r="D4" s="91"/>
      <c r="E4" s="91"/>
      <c r="F4" s="91"/>
      <c r="G4" s="91"/>
      <c r="H4" s="91"/>
    </row>
    <row r="6" spans="1:8" ht="18.5" x14ac:dyDescent="0.45">
      <c r="A6" s="26" t="s">
        <v>2114</v>
      </c>
      <c r="B6" s="92">
        <f>ROWS(_xlfn.UNIQUE('11_Ofertas_Skills_ESCO'!A2:A155))</f>
        <v>49</v>
      </c>
      <c r="D6" s="26" t="s">
        <v>2120</v>
      </c>
      <c r="E6" s="95">
        <f>COUNTIF('11_Ofertas_Skills_ESCO'!G2:G155,"Sí")/COUNTIF('11_Ofertas_Skills_ESCO'!G2:G155,"&lt;&gt;N/A")</f>
        <v>0.36986301369863012</v>
      </c>
      <c r="G6" s="26" t="s">
        <v>2124</v>
      </c>
      <c r="H6" s="99">
        <f>COUNTIF('11_Ofertas_Skills_ESCO'!H2:H155,"Soft Skill")</f>
        <v>72</v>
      </c>
    </row>
    <row r="7" spans="1:8" ht="18.5" x14ac:dyDescent="0.45">
      <c r="A7" s="26" t="s">
        <v>2115</v>
      </c>
      <c r="B7" s="92">
        <f>COUNTIF('11_Ofertas_Skills_ESCO'!C2:C155,"&lt;&gt;Sin skills identificadas")</f>
        <v>146</v>
      </c>
      <c r="D7" s="26" t="s">
        <v>2121</v>
      </c>
      <c r="E7" s="96">
        <f>COUNTIF('11_Ofertas_Skills_ESCO'!G2:G155,"No")/COUNTIF('11_Ofertas_Skills_ESCO'!G2:G155,"&lt;&gt;N/A")</f>
        <v>0.63013698630136983</v>
      </c>
      <c r="G7" s="26" t="s">
        <v>2125</v>
      </c>
      <c r="H7" s="100">
        <f>COUNTIF('11_Ofertas_Skills_ESCO'!H2:H155,"Gestión")</f>
        <v>5</v>
      </c>
    </row>
    <row r="8" spans="1:8" ht="18.5" x14ac:dyDescent="0.45">
      <c r="A8" s="26" t="s">
        <v>2116</v>
      </c>
      <c r="B8" s="93">
        <f>COUNTIF('11_Ofertas_Skills_ESCO'!C2:C155,"Sin skills identificadas")</f>
        <v>8</v>
      </c>
      <c r="D8" s="26" t="s">
        <v>2122</v>
      </c>
      <c r="E8" s="97">
        <f>B7/(B6-B8)</f>
        <v>3.5609756097560976</v>
      </c>
      <c r="G8" s="26" t="s">
        <v>2126</v>
      </c>
      <c r="H8" s="94">
        <f>COUNTIF('11_Ofertas_Skills_ESCO'!H2:H155,"Servicio")</f>
        <v>9</v>
      </c>
    </row>
    <row r="9" spans="1:8" ht="18.5" x14ac:dyDescent="0.45">
      <c r="A9" s="26" t="s">
        <v>2117</v>
      </c>
      <c r="B9" s="92" cm="1">
        <f t="array" ref="B9">ROWS(_xlfn.UNIQUE(_xlfn._xlws.FILTER('11_Ofertas_Skills_ESCO'!D2:D155,'11_Ofertas_Skills_ESCO'!D2:D155&lt;&gt;"N/A")))</f>
        <v>61</v>
      </c>
      <c r="D9" s="26" t="s">
        <v>2123</v>
      </c>
      <c r="E9" s="98">
        <f>COUNTIF('11_Ofertas_Skills_ESCO'!H2:H155,"Técnica")</f>
        <v>58</v>
      </c>
      <c r="G9" s="26" t="s">
        <v>2127</v>
      </c>
      <c r="H9" s="101">
        <f>B7-E9-H6-H7-H8</f>
        <v>2</v>
      </c>
    </row>
    <row r="10" spans="1:8" ht="18.5" x14ac:dyDescent="0.45">
      <c r="A10" s="26" t="s">
        <v>2118</v>
      </c>
      <c r="B10" s="92" cm="1">
        <f t="array" ref="B10">ROWS(_xlfn.UNIQUE(_xlfn._xlws.FILTER('11_Ofertas_Skills_ESCO'!F2:F155,'11_Ofertas_Skills_ESCO'!F2:F155&lt;&gt;"N/A")))</f>
        <v>41</v>
      </c>
    </row>
    <row r="11" spans="1:8" ht="18.5" x14ac:dyDescent="0.45">
      <c r="A11" s="26" t="s">
        <v>2119</v>
      </c>
      <c r="B11" s="92">
        <f>ROWS(_xlfn.UNIQUE('11_Ofertas_Skills_ESCO'!J2:J155))</f>
        <v>34</v>
      </c>
    </row>
    <row r="14" spans="1:8" x14ac:dyDescent="0.35">
      <c r="A14" s="71" t="s">
        <v>2128</v>
      </c>
      <c r="B14" s="80"/>
      <c r="C14" s="80"/>
      <c r="E14" s="102" t="s">
        <v>2130</v>
      </c>
      <c r="F14" s="103"/>
      <c r="G14" s="103"/>
    </row>
    <row r="15" spans="1:8" x14ac:dyDescent="0.35">
      <c r="A15" s="85" t="s">
        <v>1914</v>
      </c>
      <c r="B15" s="85" t="s">
        <v>1180</v>
      </c>
      <c r="C15" s="85" t="s">
        <v>2129</v>
      </c>
      <c r="E15" s="74" t="s">
        <v>1431</v>
      </c>
      <c r="F15" s="74" t="s">
        <v>1180</v>
      </c>
      <c r="G15" s="74" t="s">
        <v>2129</v>
      </c>
    </row>
    <row r="16" spans="1:8" x14ac:dyDescent="0.35">
      <c r="A16" t="s">
        <v>1433</v>
      </c>
      <c r="B16">
        <f>COUNTIF('11_Ofertas_Skills_ESCO'!H:H,"Técnica")</f>
        <v>58</v>
      </c>
      <c r="C16" s="75">
        <f t="shared" ref="C16:C21" si="0">B16/$B$7</f>
        <v>0.39726027397260272</v>
      </c>
      <c r="E16" t="s">
        <v>2131</v>
      </c>
      <c r="F16">
        <f>COUNTIF('11_Ofertas_Skills_ESCO'!G:G,"Sí")</f>
        <v>54</v>
      </c>
      <c r="G16" s="75">
        <f>F16/$B$7</f>
        <v>0.36986301369863012</v>
      </c>
    </row>
    <row r="17" spans="1:7" x14ac:dyDescent="0.35">
      <c r="A17" t="s">
        <v>1493</v>
      </c>
      <c r="B17">
        <f>COUNTIF('11_Ofertas_Skills_ESCO'!H:H,"Soft Skill")</f>
        <v>72</v>
      </c>
      <c r="C17" s="75">
        <f t="shared" si="0"/>
        <v>0.49315068493150682</v>
      </c>
      <c r="E17" t="s">
        <v>2132</v>
      </c>
      <c r="F17">
        <f>COUNTIF('11_Ofertas_Skills_ESCO'!G:G,"No")</f>
        <v>92</v>
      </c>
      <c r="G17" s="75">
        <f>F17/$B$7</f>
        <v>0.63013698630136983</v>
      </c>
    </row>
    <row r="18" spans="1:7" x14ac:dyDescent="0.35">
      <c r="A18" t="s">
        <v>1917</v>
      </c>
      <c r="B18">
        <f>COUNTIF('11_Ofertas_Skills_ESCO'!H:H,"Gestión")</f>
        <v>5</v>
      </c>
      <c r="C18" s="75">
        <f t="shared" si="0"/>
        <v>3.4246575342465752E-2</v>
      </c>
      <c r="E18" s="26" t="s">
        <v>2133</v>
      </c>
      <c r="F18" s="26">
        <f>F16+F17</f>
        <v>146</v>
      </c>
      <c r="G18" s="104">
        <f>G16+G17</f>
        <v>1</v>
      </c>
    </row>
    <row r="19" spans="1:7" x14ac:dyDescent="0.35">
      <c r="A19" t="s">
        <v>1922</v>
      </c>
      <c r="B19">
        <f>COUNTIF('11_Ofertas_Skills_ESCO'!H:H,"Servicio")</f>
        <v>9</v>
      </c>
      <c r="C19" s="75">
        <f t="shared" si="0"/>
        <v>6.1643835616438353E-2</v>
      </c>
    </row>
    <row r="20" spans="1:7" x14ac:dyDescent="0.35">
      <c r="A20" t="s">
        <v>1458</v>
      </c>
      <c r="B20">
        <f>COUNTIF('11_Ofertas_Skills_ESCO'!H:H,"Herramienta")</f>
        <v>0</v>
      </c>
      <c r="C20" s="75">
        <f t="shared" si="0"/>
        <v>0</v>
      </c>
    </row>
    <row r="21" spans="1:7" x14ac:dyDescent="0.35">
      <c r="A21" t="s">
        <v>1475</v>
      </c>
      <c r="B21">
        <f>COUNTIF('11_Ofertas_Skills_ESCO'!H:H,"Tecnología")</f>
        <v>0</v>
      </c>
      <c r="C21" s="75">
        <f t="shared" si="0"/>
        <v>0</v>
      </c>
    </row>
    <row r="24" spans="1:7" x14ac:dyDescent="0.35">
      <c r="A24" s="105" t="s">
        <v>2134</v>
      </c>
      <c r="B24" s="106"/>
      <c r="C24" s="106"/>
      <c r="E24" s="108" t="s">
        <v>2136</v>
      </c>
      <c r="F24" s="109"/>
      <c r="G24" s="109"/>
    </row>
    <row r="25" spans="1:7" x14ac:dyDescent="0.35">
      <c r="A25" s="107" t="s">
        <v>2135</v>
      </c>
      <c r="B25" s="107" t="s">
        <v>1180</v>
      </c>
      <c r="C25" s="107" t="s">
        <v>2129</v>
      </c>
      <c r="E25" s="110" t="s">
        <v>995</v>
      </c>
      <c r="F25" s="110" t="s">
        <v>1180</v>
      </c>
      <c r="G25" s="110" t="s">
        <v>2129</v>
      </c>
    </row>
    <row r="26" spans="1:7" x14ac:dyDescent="0.35">
      <c r="A26" t="s">
        <v>1734</v>
      </c>
      <c r="B26">
        <f>COUNTIF('11_Ofertas_Skills_ESCO'!E:E,"T - Transversales")</f>
        <v>72</v>
      </c>
      <c r="C26" s="75">
        <f t="shared" ref="C26:C32" si="1">B26/$B$7</f>
        <v>0.49315068493150682</v>
      </c>
      <c r="E26" t="s">
        <v>1514</v>
      </c>
      <c r="F26">
        <f>COUNTIF('11_Ofertas_Skills_ESCO'!F:F,"Iniciativa")</f>
        <v>11</v>
      </c>
      <c r="G26" s="75">
        <f t="shared" ref="G26:G40" si="2">F26/$B$7</f>
        <v>7.5342465753424653E-2</v>
      </c>
    </row>
    <row r="27" spans="1:7" x14ac:dyDescent="0.35">
      <c r="A27" t="s">
        <v>1915</v>
      </c>
      <c r="B27">
        <f>COUNTIF('11_Ofertas_Skills_ESCO'!E:E,"S5 - Digital")</f>
        <v>50</v>
      </c>
      <c r="C27" s="75">
        <f t="shared" si="1"/>
        <v>0.34246575342465752</v>
      </c>
      <c r="E27" t="s">
        <v>1500</v>
      </c>
      <c r="F27">
        <f>COUNTIF('11_Ofertas_Skills_ESCO'!F:F,"Comunicación")</f>
        <v>10</v>
      </c>
      <c r="G27" s="75">
        <f t="shared" si="2"/>
        <v>6.8493150684931503E-2</v>
      </c>
    </row>
    <row r="28" spans="1:7" x14ac:dyDescent="0.35">
      <c r="A28" t="s">
        <v>1834</v>
      </c>
      <c r="B28">
        <f>COUNTIF('11_Ofertas_Skills_ESCO'!E:E,"S3 - Asistencia")</f>
        <v>9</v>
      </c>
      <c r="C28" s="75">
        <f t="shared" si="1"/>
        <v>6.1643835616438353E-2</v>
      </c>
      <c r="E28" t="s">
        <v>1434</v>
      </c>
      <c r="F28">
        <f>COUNTIF('11_Ofertas_Skills_ESCO'!F:F,"Software Ofimático")</f>
        <v>17</v>
      </c>
      <c r="G28" s="75">
        <f t="shared" si="2"/>
        <v>0.11643835616438356</v>
      </c>
    </row>
    <row r="29" spans="1:7" x14ac:dyDescent="0.35">
      <c r="A29" t="s">
        <v>1649</v>
      </c>
      <c r="B29">
        <f>COUNTIF('11_Ofertas_Skills_ESCO'!E:E,"S4 - Gestión")</f>
        <v>5</v>
      </c>
      <c r="C29" s="75">
        <f t="shared" si="1"/>
        <v>3.4246575342465752E-2</v>
      </c>
      <c r="E29" t="s">
        <v>1494</v>
      </c>
      <c r="F29">
        <f>COUNTIF('11_Ofertas_Skills_ESCO'!F:F,"Colaboración")</f>
        <v>8</v>
      </c>
      <c r="G29" s="75">
        <f t="shared" si="2"/>
        <v>5.4794520547945202E-2</v>
      </c>
    </row>
    <row r="30" spans="1:7" x14ac:dyDescent="0.35">
      <c r="A30" t="s">
        <v>1666</v>
      </c>
      <c r="B30">
        <f>COUNTIF('11_Ofertas_Skills_ESCO'!E:E,"S6 - Técnicas")</f>
        <v>6</v>
      </c>
      <c r="C30" s="75">
        <f t="shared" si="1"/>
        <v>4.1095890410958902E-2</v>
      </c>
      <c r="E30" t="s">
        <v>1445</v>
      </c>
      <c r="F30">
        <f>COUNTIF('11_Ofertas_Skills_ESCO'!F:F,"Sistemas CRM")</f>
        <v>5</v>
      </c>
      <c r="G30" s="75">
        <f t="shared" si="2"/>
        <v>3.4246575342465752E-2</v>
      </c>
    </row>
    <row r="31" spans="1:7" x14ac:dyDescent="0.35">
      <c r="A31" t="s">
        <v>1570</v>
      </c>
      <c r="B31">
        <f>COUNTIF('11_Ofertas_Skills_ESCO'!E:E,"S1 - Comunicación")</f>
        <v>3</v>
      </c>
      <c r="C31" s="75">
        <f t="shared" si="1"/>
        <v>2.0547945205479451E-2</v>
      </c>
      <c r="E31" t="s">
        <v>1509</v>
      </c>
      <c r="F31">
        <f>COUNTIF('11_Ofertas_Skills_ESCO'!F:F,"Liderazgo")</f>
        <v>4</v>
      </c>
      <c r="G31" s="75">
        <f t="shared" si="2"/>
        <v>2.7397260273972601E-2</v>
      </c>
    </row>
    <row r="32" spans="1:7" x14ac:dyDescent="0.35">
      <c r="A32" t="s">
        <v>1565</v>
      </c>
      <c r="B32">
        <f>COUNTIF('11_Ofertas_Skills_ESCO'!E:E,"K - Conocimientos")</f>
        <v>1</v>
      </c>
      <c r="C32" s="75">
        <f t="shared" si="1"/>
        <v>6.8493150684931503E-3</v>
      </c>
      <c r="E32" t="s">
        <v>1921</v>
      </c>
      <c r="F32">
        <f>COUNTIF('11_Ofertas_Skills_ESCO'!F:F,"Orientación Cliente")</f>
        <v>7</v>
      </c>
      <c r="G32" s="75">
        <f t="shared" si="2"/>
        <v>4.7945205479452052E-2</v>
      </c>
    </row>
    <row r="33" spans="1:7" x14ac:dyDescent="0.35">
      <c r="E33" t="s">
        <v>1453</v>
      </c>
      <c r="F33">
        <f>COUNTIF('11_Ofertas_Skills_ESCO'!F:F,"Diseño Gráfico")</f>
        <v>4</v>
      </c>
      <c r="G33" s="75">
        <f t="shared" si="2"/>
        <v>2.7397260273972601E-2</v>
      </c>
    </row>
    <row r="34" spans="1:7" x14ac:dyDescent="0.35">
      <c r="E34" t="s">
        <v>1790</v>
      </c>
      <c r="F34">
        <f>COUNTIF('11_Ofertas_Skills_ESCO'!F:F,"Organización")</f>
        <v>6</v>
      </c>
      <c r="G34" s="75">
        <f t="shared" si="2"/>
        <v>4.1095890410958902E-2</v>
      </c>
    </row>
    <row r="35" spans="1:7" x14ac:dyDescent="0.35">
      <c r="A35" s="111" t="s">
        <v>2137</v>
      </c>
      <c r="B35" s="112"/>
      <c r="C35" s="112"/>
      <c r="E35" t="s">
        <v>1942</v>
      </c>
      <c r="F35">
        <f>COUNTIF('11_Ofertas_Skills_ESCO'!F:F,"Orientación Resultados")</f>
        <v>5</v>
      </c>
      <c r="G35" s="75">
        <f t="shared" si="2"/>
        <v>3.4246575342465752E-2</v>
      </c>
    </row>
    <row r="36" spans="1:7" x14ac:dyDescent="0.35">
      <c r="A36" s="113" t="s">
        <v>1986</v>
      </c>
      <c r="B36" s="113" t="s">
        <v>1987</v>
      </c>
      <c r="C36" s="113" t="s">
        <v>2138</v>
      </c>
      <c r="E36" t="s">
        <v>1774</v>
      </c>
      <c r="F36">
        <f>COUNTIF('11_Ofertas_Skills_ESCO'!F:F,"Autonomía")</f>
        <v>3</v>
      </c>
      <c r="G36" s="75">
        <f t="shared" si="2"/>
        <v>2.0547945205479451E-2</v>
      </c>
    </row>
    <row r="37" spans="1:7" x14ac:dyDescent="0.35">
      <c r="A37">
        <v>5223</v>
      </c>
      <c r="B37" t="s">
        <v>679</v>
      </c>
      <c r="C37">
        <f>COUNTIF('11_Ofertas_Skills_ESCO'!J:J,5223)</f>
        <v>22</v>
      </c>
      <c r="E37" t="s">
        <v>1540</v>
      </c>
      <c r="F37">
        <f>COUNTIF('11_Ofertas_Skills_ESCO'!F:F,"Adaptabilidad")</f>
        <v>3</v>
      </c>
      <c r="G37" s="75">
        <f t="shared" si="2"/>
        <v>2.0547945205479451E-2</v>
      </c>
    </row>
    <row r="38" spans="1:7" x14ac:dyDescent="0.35">
      <c r="A38">
        <v>3322</v>
      </c>
      <c r="B38" t="s">
        <v>725</v>
      </c>
      <c r="C38">
        <f>COUNTIF('11_Ofertas_Skills_ESCO'!J:J,3322)</f>
        <v>15</v>
      </c>
      <c r="E38" t="s">
        <v>1522</v>
      </c>
      <c r="F38">
        <f>COUNTIF('11_Ofertas_Skills_ESCO'!F:F,"Pensamiento Analítico")</f>
        <v>5</v>
      </c>
      <c r="G38" s="75">
        <f t="shared" si="2"/>
        <v>3.4246575342465752E-2</v>
      </c>
    </row>
    <row r="39" spans="1:7" x14ac:dyDescent="0.35">
      <c r="A39">
        <v>2432</v>
      </c>
      <c r="B39" t="s">
        <v>686</v>
      </c>
      <c r="C39">
        <f>COUNTIF('11_Ofertas_Skills_ESCO'!J:J,2432)</f>
        <v>16</v>
      </c>
      <c r="E39" t="s">
        <v>1748</v>
      </c>
      <c r="F39">
        <f>COUNTIF('11_Ofertas_Skills_ESCO'!F:F,"Negociación")</f>
        <v>4</v>
      </c>
      <c r="G39" s="75">
        <f t="shared" si="2"/>
        <v>2.7397260273972601E-2</v>
      </c>
    </row>
    <row r="40" spans="1:7" x14ac:dyDescent="0.35">
      <c r="A40">
        <v>4311</v>
      </c>
      <c r="B40" t="s">
        <v>864</v>
      </c>
      <c r="C40">
        <f>COUNTIF('11_Ofertas_Skills_ESCO'!J:J,4311)</f>
        <v>9</v>
      </c>
      <c r="E40" t="s">
        <v>1616</v>
      </c>
      <c r="F40">
        <f>COUNTIF('11_Ofertas_Skills_ESCO'!F:F,"Informática General")</f>
        <v>3</v>
      </c>
      <c r="G40" s="75">
        <f t="shared" si="2"/>
        <v>2.0547945205479451E-2</v>
      </c>
    </row>
    <row r="41" spans="1:7" x14ac:dyDescent="0.35">
      <c r="A41">
        <v>3343</v>
      </c>
      <c r="B41" t="s">
        <v>778</v>
      </c>
      <c r="C41">
        <f>COUNTIF('11_Ofertas_Skills_ESCO'!J:J,3343)</f>
        <v>14</v>
      </c>
    </row>
    <row r="42" spans="1:7" x14ac:dyDescent="0.35">
      <c r="A42">
        <v>7411</v>
      </c>
      <c r="B42" t="s">
        <v>701</v>
      </c>
      <c r="C42">
        <f>COUNTIF('11_Ofertas_Skills_ESCO'!J:J,7411)</f>
        <v>9</v>
      </c>
    </row>
    <row r="43" spans="1:7" x14ac:dyDescent="0.35">
      <c r="A43">
        <v>2619</v>
      </c>
      <c r="B43" t="s">
        <v>2003</v>
      </c>
      <c r="C43">
        <f>COUNTIF('11_Ofertas_Skills_ESCO'!J:J,2619)</f>
        <v>8</v>
      </c>
    </row>
    <row r="44" spans="1:7" x14ac:dyDescent="0.35">
      <c r="A44">
        <v>3313</v>
      </c>
      <c r="B44" t="s">
        <v>715</v>
      </c>
      <c r="C44">
        <f>COUNTIF('11_Ofertas_Skills_ESCO'!J:J,3313)</f>
        <v>6</v>
      </c>
    </row>
    <row r="45" spans="1:7" x14ac:dyDescent="0.35">
      <c r="A45">
        <v>2513</v>
      </c>
      <c r="B45" t="s">
        <v>833</v>
      </c>
      <c r="C45">
        <f>COUNTIF('11_Ofertas_Skills_ESCO'!J:J,2513)</f>
        <v>2</v>
      </c>
    </row>
    <row r="46" spans="1:7" x14ac:dyDescent="0.35">
      <c r="A46">
        <v>4222</v>
      </c>
      <c r="B46" t="s">
        <v>787</v>
      </c>
      <c r="C46">
        <f>COUNTIF('11_Ofertas_Skills_ESCO'!J:J,4222)</f>
        <v>5</v>
      </c>
    </row>
    <row r="49" spans="1:8" ht="15.5" x14ac:dyDescent="0.35">
      <c r="A49" s="72" t="s">
        <v>2139</v>
      </c>
      <c r="B49" s="73"/>
      <c r="C49" s="73"/>
      <c r="D49" s="73"/>
      <c r="E49" s="73"/>
      <c r="F49" s="73"/>
      <c r="G49" s="73"/>
      <c r="H49" s="73"/>
    </row>
    <row r="51" spans="1:8" x14ac:dyDescent="0.35">
      <c r="A51" t="s">
        <v>2140</v>
      </c>
    </row>
    <row r="53" spans="1:8" x14ac:dyDescent="0.35">
      <c r="A53" t="s">
        <v>2141</v>
      </c>
    </row>
    <row r="55" spans="1:8" x14ac:dyDescent="0.35">
      <c r="A55" t="s">
        <v>2142</v>
      </c>
    </row>
    <row r="57" spans="1:8" x14ac:dyDescent="0.35">
      <c r="A57" t="s">
        <v>2143</v>
      </c>
    </row>
    <row r="59" spans="1:8" x14ac:dyDescent="0.35">
      <c r="A59" s="26" t="s">
        <v>2144</v>
      </c>
    </row>
    <row r="60" spans="1:8" x14ac:dyDescent="0.35">
      <c r="A60" t="s">
        <v>2145</v>
      </c>
    </row>
    <row r="61" spans="1:8" x14ac:dyDescent="0.35">
      <c r="A61" t="s">
        <v>2146</v>
      </c>
    </row>
    <row r="62" spans="1:8" x14ac:dyDescent="0.35">
      <c r="A62" t="s">
        <v>2147</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9F790-CD72-4CD4-8133-5759A6B08FA0}">
  <sheetPr>
    <tabColor rgb="FFFF6B00"/>
  </sheetPr>
  <dimension ref="A1:I42"/>
  <sheetViews>
    <sheetView topLeftCell="G1" workbookViewId="0">
      <pane ySplit="12" topLeftCell="A24" activePane="bottomLeft" state="frozen"/>
      <selection pane="bottomLeft" activeCell="G27" sqref="G27"/>
    </sheetView>
  </sheetViews>
  <sheetFormatPr baseColWidth="10" defaultRowHeight="14.5" x14ac:dyDescent="0.35"/>
  <cols>
    <col min="1" max="1" width="104.08984375" bestFit="1" customWidth="1"/>
    <col min="2" max="2" width="35.08984375" bestFit="1" customWidth="1"/>
    <col min="3" max="3" width="83.453125" bestFit="1" customWidth="1"/>
    <col min="4" max="4" width="24.90625" bestFit="1" customWidth="1"/>
    <col min="5" max="5" width="9" bestFit="1" customWidth="1"/>
    <col min="6" max="6" width="60.08984375" bestFit="1" customWidth="1"/>
    <col min="7" max="7" width="83.08984375" bestFit="1" customWidth="1"/>
    <col min="8" max="8" width="55.08984375" bestFit="1" customWidth="1"/>
  </cols>
  <sheetData>
    <row r="1" spans="1:9" ht="18.5" x14ac:dyDescent="0.45">
      <c r="A1" s="116" t="s">
        <v>2148</v>
      </c>
      <c r="B1" s="117"/>
      <c r="C1" s="117"/>
      <c r="D1" s="117"/>
      <c r="E1" s="117"/>
      <c r="F1" s="117"/>
      <c r="G1" s="117"/>
      <c r="H1" s="117"/>
    </row>
    <row r="2" spans="1:9" x14ac:dyDescent="0.35">
      <c r="A2" s="26" t="s">
        <v>2149</v>
      </c>
      <c r="B2" s="118">
        <v>46006</v>
      </c>
      <c r="D2" s="26" t="s">
        <v>2150</v>
      </c>
      <c r="E2" t="s">
        <v>2151</v>
      </c>
      <c r="G2" s="26" t="s">
        <v>2152</v>
      </c>
      <c r="H2" t="s">
        <v>350</v>
      </c>
    </row>
    <row r="4" spans="1:9" ht="15.5" x14ac:dyDescent="0.35">
      <c r="A4" s="119" t="s">
        <v>2153</v>
      </c>
      <c r="B4" s="120"/>
      <c r="C4" s="120"/>
      <c r="D4" s="120"/>
    </row>
    <row r="5" spans="1:9" x14ac:dyDescent="0.35">
      <c r="A5" t="s">
        <v>2154</v>
      </c>
      <c r="B5">
        <v>49</v>
      </c>
      <c r="D5" t="s">
        <v>2155</v>
      </c>
      <c r="E5">
        <v>44</v>
      </c>
      <c r="F5" s="121">
        <v>0.89800000000000002</v>
      </c>
    </row>
    <row r="6" spans="1:9" x14ac:dyDescent="0.35">
      <c r="A6" t="s">
        <v>2156</v>
      </c>
      <c r="B6">
        <v>3</v>
      </c>
      <c r="C6" s="41">
        <v>6.0999999999999999E-2</v>
      </c>
      <c r="D6" t="s">
        <v>2157</v>
      </c>
      <c r="E6">
        <v>2</v>
      </c>
      <c r="F6" s="41">
        <v>4.1000000000000002E-2</v>
      </c>
    </row>
    <row r="8" spans="1:9" ht="15.5" x14ac:dyDescent="0.35">
      <c r="A8" s="122" t="s">
        <v>2158</v>
      </c>
      <c r="B8" s="123"/>
      <c r="C8" s="123"/>
      <c r="D8" s="123"/>
      <c r="E8" s="123"/>
      <c r="F8" s="123"/>
    </row>
    <row r="9" spans="1:9" x14ac:dyDescent="0.35">
      <c r="A9" t="s">
        <v>2159</v>
      </c>
      <c r="B9">
        <v>45</v>
      </c>
      <c r="C9" s="121">
        <v>0.91800000000000004</v>
      </c>
      <c r="D9" t="s">
        <v>2160</v>
      </c>
      <c r="E9">
        <v>2</v>
      </c>
      <c r="F9" s="124">
        <v>4.1000000000000002E-2</v>
      </c>
      <c r="G9" t="s">
        <v>2161</v>
      </c>
      <c r="H9">
        <v>2</v>
      </c>
      <c r="I9" s="42">
        <v>4.1000000000000002E-2</v>
      </c>
    </row>
    <row r="12" spans="1:9" x14ac:dyDescent="0.35">
      <c r="A12" s="126" t="s">
        <v>0</v>
      </c>
      <c r="B12" s="126" t="s">
        <v>1084</v>
      </c>
      <c r="C12" s="126" t="s">
        <v>906</v>
      </c>
      <c r="D12" s="126" t="s">
        <v>926</v>
      </c>
      <c r="E12" s="126" t="s">
        <v>2162</v>
      </c>
      <c r="F12" s="126" t="s">
        <v>2163</v>
      </c>
      <c r="G12" s="126" t="s">
        <v>925</v>
      </c>
      <c r="H12" s="126" t="s">
        <v>2164</v>
      </c>
    </row>
    <row r="13" spans="1:9" x14ac:dyDescent="0.35">
      <c r="A13">
        <v>1118026700</v>
      </c>
      <c r="B13" t="s">
        <v>10</v>
      </c>
      <c r="C13" s="43" t="s">
        <v>2165</v>
      </c>
      <c r="D13" t="s">
        <v>948</v>
      </c>
      <c r="E13" s="127" t="s">
        <v>2166</v>
      </c>
      <c r="F13" t="s">
        <v>2167</v>
      </c>
      <c r="G13" t="s">
        <v>2168</v>
      </c>
      <c r="H13" t="s">
        <v>2169</v>
      </c>
    </row>
    <row r="14" spans="1:9" x14ac:dyDescent="0.35">
      <c r="A14">
        <v>1118027243</v>
      </c>
      <c r="B14" t="s">
        <v>23</v>
      </c>
      <c r="C14" s="43" t="s">
        <v>2165</v>
      </c>
      <c r="D14" t="s">
        <v>948</v>
      </c>
      <c r="E14" s="127" t="s">
        <v>2166</v>
      </c>
      <c r="F14" t="s">
        <v>2170</v>
      </c>
      <c r="G14" t="s">
        <v>2171</v>
      </c>
      <c r="H14" t="s">
        <v>2172</v>
      </c>
    </row>
    <row r="15" spans="1:9" x14ac:dyDescent="0.35">
      <c r="A15">
        <v>1118028038</v>
      </c>
      <c r="B15" t="s">
        <v>2173</v>
      </c>
      <c r="C15" s="128" t="s">
        <v>2174</v>
      </c>
      <c r="D15" t="s">
        <v>2175</v>
      </c>
      <c r="E15" s="123" t="s">
        <v>2176</v>
      </c>
      <c r="F15" t="s">
        <v>2177</v>
      </c>
      <c r="G15" t="s">
        <v>2178</v>
      </c>
      <c r="H15" t="s">
        <v>2179</v>
      </c>
    </row>
    <row r="16" spans="1:9" x14ac:dyDescent="0.35">
      <c r="A16">
        <v>1118017586</v>
      </c>
      <c r="B16" t="s">
        <v>546</v>
      </c>
      <c r="C16" s="128" t="s">
        <v>2174</v>
      </c>
      <c r="D16" t="s">
        <v>2175</v>
      </c>
      <c r="E16" s="127" t="s">
        <v>2166</v>
      </c>
      <c r="F16" t="s">
        <v>2180</v>
      </c>
      <c r="G16" t="s">
        <v>2181</v>
      </c>
      <c r="H16" t="s">
        <v>2182</v>
      </c>
    </row>
    <row r="17" spans="1:8" x14ac:dyDescent="0.35">
      <c r="A17">
        <v>2164100</v>
      </c>
      <c r="B17" t="s">
        <v>184</v>
      </c>
      <c r="C17" s="130" t="s">
        <v>2183</v>
      </c>
      <c r="D17" t="s">
        <v>2008</v>
      </c>
      <c r="E17" s="127" t="s">
        <v>2008</v>
      </c>
      <c r="F17" t="s">
        <v>2184</v>
      </c>
      <c r="G17" t="s">
        <v>2185</v>
      </c>
      <c r="H17" t="s">
        <v>2186</v>
      </c>
    </row>
    <row r="18" spans="1:8" x14ac:dyDescent="0.35">
      <c r="A18">
        <v>1117984105</v>
      </c>
      <c r="B18" t="s">
        <v>2187</v>
      </c>
      <c r="C18" s="130" t="s">
        <v>2183</v>
      </c>
      <c r="D18" t="s">
        <v>2008</v>
      </c>
      <c r="E18" s="127" t="s">
        <v>2008</v>
      </c>
      <c r="F18" t="s">
        <v>2188</v>
      </c>
      <c r="G18" t="s">
        <v>2189</v>
      </c>
      <c r="H18" t="s">
        <v>2190</v>
      </c>
    </row>
    <row r="19" spans="1:8" x14ac:dyDescent="0.35">
      <c r="A19">
        <v>1118028027</v>
      </c>
      <c r="B19" t="s">
        <v>59</v>
      </c>
      <c r="C19" s="130" t="s">
        <v>2183</v>
      </c>
      <c r="D19" t="s">
        <v>2008</v>
      </c>
      <c r="E19" s="127" t="s">
        <v>2008</v>
      </c>
      <c r="F19" t="s">
        <v>2191</v>
      </c>
      <c r="G19" t="s">
        <v>2192</v>
      </c>
      <c r="H19" t="s">
        <v>2193</v>
      </c>
    </row>
    <row r="20" spans="1:8" x14ac:dyDescent="0.35">
      <c r="A20">
        <v>1118026729</v>
      </c>
      <c r="B20" t="s">
        <v>18</v>
      </c>
      <c r="C20" s="130" t="s">
        <v>2183</v>
      </c>
      <c r="D20" t="s">
        <v>2008</v>
      </c>
      <c r="E20" s="127" t="s">
        <v>2008</v>
      </c>
      <c r="F20" t="s">
        <v>2194</v>
      </c>
      <c r="G20" t="s">
        <v>2195</v>
      </c>
    </row>
    <row r="21" spans="1:8" x14ac:dyDescent="0.35">
      <c r="A21">
        <v>1118027261</v>
      </c>
      <c r="B21" t="s">
        <v>29</v>
      </c>
      <c r="C21" s="130" t="s">
        <v>2183</v>
      </c>
      <c r="D21" t="s">
        <v>2008</v>
      </c>
      <c r="E21" s="127" t="s">
        <v>2008</v>
      </c>
      <c r="F21" t="s">
        <v>2196</v>
      </c>
      <c r="G21" t="s">
        <v>2197</v>
      </c>
    </row>
    <row r="22" spans="1:8" x14ac:dyDescent="0.35">
      <c r="A22">
        <v>1118027276</v>
      </c>
      <c r="B22" t="s">
        <v>375</v>
      </c>
      <c r="C22" s="130" t="s">
        <v>2183</v>
      </c>
      <c r="D22" t="s">
        <v>2008</v>
      </c>
      <c r="E22" s="127" t="s">
        <v>2008</v>
      </c>
      <c r="F22" t="s">
        <v>2198</v>
      </c>
      <c r="G22" t="s">
        <v>2199</v>
      </c>
    </row>
    <row r="23" spans="1:8" x14ac:dyDescent="0.35">
      <c r="A23">
        <v>1117977340</v>
      </c>
      <c r="B23" t="s">
        <v>287</v>
      </c>
      <c r="C23" s="130" t="s">
        <v>2183</v>
      </c>
      <c r="D23" t="s">
        <v>2008</v>
      </c>
      <c r="E23" s="127" t="s">
        <v>2008</v>
      </c>
      <c r="F23" t="s">
        <v>2200</v>
      </c>
      <c r="G23" t="s">
        <v>2201</v>
      </c>
      <c r="H23" t="s">
        <v>2202</v>
      </c>
    </row>
    <row r="24" spans="1:8" x14ac:dyDescent="0.35">
      <c r="A24">
        <v>2170124</v>
      </c>
      <c r="B24" t="s">
        <v>633</v>
      </c>
      <c r="C24" s="130" t="s">
        <v>2183</v>
      </c>
      <c r="D24" t="s">
        <v>2008</v>
      </c>
      <c r="E24" s="127" t="s">
        <v>2008</v>
      </c>
      <c r="F24" t="s">
        <v>2203</v>
      </c>
      <c r="G24" t="s">
        <v>2204</v>
      </c>
    </row>
    <row r="25" spans="1:8" x14ac:dyDescent="0.35">
      <c r="A25">
        <v>1117975249</v>
      </c>
      <c r="B25" t="s">
        <v>638</v>
      </c>
      <c r="C25" s="130" t="s">
        <v>2183</v>
      </c>
      <c r="D25" t="s">
        <v>2008</v>
      </c>
      <c r="E25" s="127" t="s">
        <v>2008</v>
      </c>
      <c r="F25" t="s">
        <v>2205</v>
      </c>
      <c r="G25" t="s">
        <v>2206</v>
      </c>
    </row>
    <row r="26" spans="1:8" x14ac:dyDescent="0.35">
      <c r="A26">
        <v>1118028891</v>
      </c>
      <c r="B26" t="s">
        <v>110</v>
      </c>
      <c r="C26" s="130" t="s">
        <v>2183</v>
      </c>
      <c r="D26" t="s">
        <v>2008</v>
      </c>
      <c r="E26" s="127" t="s">
        <v>2008</v>
      </c>
      <c r="F26" t="s">
        <v>2207</v>
      </c>
      <c r="G26" t="s">
        <v>2208</v>
      </c>
    </row>
    <row r="27" spans="1:8" x14ac:dyDescent="0.35">
      <c r="A27">
        <v>1117990944</v>
      </c>
      <c r="B27" t="s">
        <v>2209</v>
      </c>
      <c r="C27" s="130" t="s">
        <v>2183</v>
      </c>
      <c r="D27" t="s">
        <v>2008</v>
      </c>
      <c r="E27" s="127" t="s">
        <v>2008</v>
      </c>
      <c r="F27" t="s">
        <v>2210</v>
      </c>
      <c r="G27" t="s">
        <v>2211</v>
      </c>
    </row>
    <row r="28" spans="1:8" x14ac:dyDescent="0.35">
      <c r="A28">
        <v>1118009703</v>
      </c>
      <c r="B28" t="s">
        <v>2212</v>
      </c>
      <c r="C28" s="130" t="s">
        <v>2183</v>
      </c>
      <c r="D28" t="s">
        <v>2008</v>
      </c>
      <c r="E28" s="127" t="s">
        <v>2008</v>
      </c>
      <c r="F28" t="s">
        <v>2213</v>
      </c>
      <c r="G28" t="s">
        <v>2214</v>
      </c>
    </row>
    <row r="31" spans="1:8" ht="15.5" x14ac:dyDescent="0.35">
      <c r="A31" s="131" t="s">
        <v>2215</v>
      </c>
      <c r="B31" s="132"/>
      <c r="C31" s="132"/>
      <c r="D31" s="132"/>
      <c r="E31" s="132"/>
      <c r="F31" s="132"/>
      <c r="G31" s="132"/>
      <c r="H31" s="132"/>
    </row>
    <row r="32" spans="1:8" x14ac:dyDescent="0.35">
      <c r="A32">
        <v>1</v>
      </c>
      <c r="B32" s="66" t="s">
        <v>2216</v>
      </c>
      <c r="C32" t="s">
        <v>2217</v>
      </c>
    </row>
    <row r="33" spans="1:8" x14ac:dyDescent="0.35">
      <c r="A33">
        <v>2</v>
      </c>
      <c r="B33" s="66" t="s">
        <v>2216</v>
      </c>
      <c r="C33" t="s">
        <v>2218</v>
      </c>
    </row>
    <row r="34" spans="1:8" x14ac:dyDescent="0.35">
      <c r="A34">
        <v>3</v>
      </c>
      <c r="B34" s="128" t="s">
        <v>2219</v>
      </c>
      <c r="C34" t="s">
        <v>2220</v>
      </c>
    </row>
    <row r="35" spans="1:8" x14ac:dyDescent="0.35">
      <c r="A35">
        <v>4</v>
      </c>
      <c r="B35" s="130" t="s">
        <v>2221</v>
      </c>
      <c r="C35" t="s">
        <v>2222</v>
      </c>
    </row>
    <row r="38" spans="1:8" ht="15.5" x14ac:dyDescent="0.35">
      <c r="A38" s="119" t="s">
        <v>2223</v>
      </c>
      <c r="B38" s="120"/>
      <c r="C38" s="120"/>
      <c r="D38" s="120"/>
      <c r="E38" s="120"/>
      <c r="F38" s="120"/>
      <c r="G38" s="120"/>
      <c r="H38" s="120"/>
    </row>
    <row r="39" spans="1:8" x14ac:dyDescent="0.35">
      <c r="A39" t="s">
        <v>2224</v>
      </c>
    </row>
    <row r="40" spans="1:8" x14ac:dyDescent="0.35">
      <c r="A40" t="s">
        <v>2225</v>
      </c>
    </row>
    <row r="41" spans="1:8" x14ac:dyDescent="0.35">
      <c r="A41" t="s">
        <v>2226</v>
      </c>
    </row>
    <row r="42" spans="1:8" x14ac:dyDescent="0.35">
      <c r="A42" t="s">
        <v>2227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86D9A-A629-493B-BD79-C0720D91B001}">
  <sheetPr>
    <tabColor rgb="FF7030A0"/>
  </sheetPr>
  <dimension ref="A1:K140"/>
  <sheetViews>
    <sheetView topLeftCell="D32" zoomScale="80" zoomScaleNormal="80" workbookViewId="0">
      <selection activeCell="A37" sqref="A37:G42"/>
    </sheetView>
  </sheetViews>
  <sheetFormatPr baseColWidth="10" defaultRowHeight="14.5" x14ac:dyDescent="0.35"/>
  <cols>
    <col min="1" max="1" width="98.08984375" bestFit="1" customWidth="1"/>
    <col min="2" max="2" width="89.453125" bestFit="1" customWidth="1"/>
    <col min="3" max="3" width="53.26953125" bestFit="1" customWidth="1"/>
    <col min="4" max="4" width="35.08984375" bestFit="1" customWidth="1"/>
    <col min="5" max="5" width="18.453125" bestFit="1" customWidth="1"/>
    <col min="6" max="6" width="26.36328125" bestFit="1" customWidth="1"/>
    <col min="7" max="7" width="7.453125" bestFit="1" customWidth="1"/>
  </cols>
  <sheetData>
    <row r="1" spans="1:11" ht="18.5" x14ac:dyDescent="0.45">
      <c r="A1" s="63" t="s">
        <v>2228</v>
      </c>
      <c r="B1" s="61"/>
      <c r="C1" s="61"/>
      <c r="D1" s="61"/>
      <c r="E1" s="61"/>
      <c r="F1" s="61"/>
      <c r="G1" s="61"/>
      <c r="H1" s="61"/>
      <c r="I1" s="61"/>
      <c r="J1" s="61"/>
      <c r="K1" s="61"/>
    </row>
    <row r="2" spans="1:11" x14ac:dyDescent="0.35">
      <c r="A2" s="134" t="s">
        <v>2229</v>
      </c>
    </row>
    <row r="4" spans="1:11" ht="15.5" x14ac:dyDescent="0.35">
      <c r="A4" s="135" t="s">
        <v>2230</v>
      </c>
      <c r="B4" s="136"/>
      <c r="C4" s="136"/>
      <c r="D4" s="136"/>
      <c r="E4" s="136"/>
    </row>
    <row r="5" spans="1:11" x14ac:dyDescent="0.35">
      <c r="A5" t="s">
        <v>2231</v>
      </c>
    </row>
    <row r="6" spans="1:11" x14ac:dyDescent="0.35">
      <c r="A6" t="s">
        <v>2232</v>
      </c>
    </row>
    <row r="7" spans="1:11" x14ac:dyDescent="0.35">
      <c r="A7" t="s">
        <v>2233</v>
      </c>
    </row>
    <row r="8" spans="1:11" x14ac:dyDescent="0.35">
      <c r="A8" t="s">
        <v>2234</v>
      </c>
    </row>
    <row r="10" spans="1:11" ht="15.5" x14ac:dyDescent="0.35">
      <c r="A10" s="137" t="s">
        <v>2235</v>
      </c>
      <c r="B10" s="127"/>
      <c r="C10" s="127"/>
      <c r="D10" s="127"/>
      <c r="E10" s="127"/>
      <c r="F10" s="127"/>
    </row>
    <row r="11" spans="1:11" x14ac:dyDescent="0.35">
      <c r="A11" s="130" t="s">
        <v>2236</v>
      </c>
      <c r="B11" t="s">
        <v>2237</v>
      </c>
    </row>
    <row r="12" spans="1:11" x14ac:dyDescent="0.35">
      <c r="A12" s="26" t="s">
        <v>2238</v>
      </c>
      <c r="B12" t="s">
        <v>2239</v>
      </c>
    </row>
    <row r="13" spans="1:11" x14ac:dyDescent="0.35">
      <c r="A13" s="26" t="s">
        <v>2240</v>
      </c>
      <c r="B13" t="s">
        <v>2241</v>
      </c>
    </row>
    <row r="14" spans="1:11" x14ac:dyDescent="0.35">
      <c r="A14" s="26" t="s">
        <v>2242</v>
      </c>
      <c r="B14" t="s">
        <v>2243</v>
      </c>
    </row>
    <row r="16" spans="1:11" x14ac:dyDescent="0.35">
      <c r="A16" s="138" t="s">
        <v>0</v>
      </c>
      <c r="B16" s="138" t="s">
        <v>1084</v>
      </c>
      <c r="C16" s="138" t="s">
        <v>2244</v>
      </c>
      <c r="D16" s="138" t="s">
        <v>2245</v>
      </c>
      <c r="E16" s="138" t="s">
        <v>2246</v>
      </c>
      <c r="F16" s="138" t="s">
        <v>2247</v>
      </c>
      <c r="G16" s="138" t="s">
        <v>2248</v>
      </c>
      <c r="H16" s="138" t="s">
        <v>2249</v>
      </c>
    </row>
    <row r="17" spans="1:8" x14ac:dyDescent="0.35">
      <c r="A17">
        <v>1118028891</v>
      </c>
      <c r="B17" t="s">
        <v>1293</v>
      </c>
      <c r="C17">
        <v>7</v>
      </c>
      <c r="D17">
        <v>0</v>
      </c>
      <c r="E17">
        <v>2</v>
      </c>
      <c r="F17">
        <v>15</v>
      </c>
      <c r="G17" s="66">
        <v>15</v>
      </c>
      <c r="H17" s="66" t="s">
        <v>2250</v>
      </c>
    </row>
    <row r="18" spans="1:8" x14ac:dyDescent="0.35">
      <c r="A18">
        <v>1117990944</v>
      </c>
      <c r="B18" t="s">
        <v>2209</v>
      </c>
      <c r="C18">
        <v>8</v>
      </c>
      <c r="D18">
        <v>0</v>
      </c>
      <c r="E18">
        <v>0</v>
      </c>
      <c r="F18">
        <v>12</v>
      </c>
      <c r="G18" s="66">
        <v>12</v>
      </c>
      <c r="H18" s="66" t="s">
        <v>2250</v>
      </c>
    </row>
    <row r="19" spans="1:8" x14ac:dyDescent="0.35">
      <c r="A19">
        <v>1117975249</v>
      </c>
      <c r="B19" t="s">
        <v>2251</v>
      </c>
      <c r="C19">
        <v>8</v>
      </c>
      <c r="D19">
        <v>0</v>
      </c>
      <c r="E19">
        <v>2</v>
      </c>
      <c r="F19">
        <v>14</v>
      </c>
      <c r="G19" s="66">
        <v>14</v>
      </c>
      <c r="H19" s="66" t="s">
        <v>2250</v>
      </c>
    </row>
    <row r="20" spans="1:8" x14ac:dyDescent="0.35">
      <c r="A20">
        <v>1117977340</v>
      </c>
      <c r="B20" t="s">
        <v>2252</v>
      </c>
      <c r="C20">
        <v>9</v>
      </c>
      <c r="D20">
        <v>1</v>
      </c>
      <c r="E20">
        <v>1</v>
      </c>
      <c r="F20">
        <v>11</v>
      </c>
      <c r="G20" s="66">
        <v>10</v>
      </c>
      <c r="H20" s="66" t="s">
        <v>2250</v>
      </c>
    </row>
    <row r="21" spans="1:8" x14ac:dyDescent="0.35">
      <c r="A21">
        <v>1118000814</v>
      </c>
      <c r="B21" t="s">
        <v>2253</v>
      </c>
      <c r="C21">
        <v>8</v>
      </c>
      <c r="D21">
        <v>1</v>
      </c>
      <c r="E21">
        <v>5</v>
      </c>
      <c r="F21">
        <v>10</v>
      </c>
      <c r="G21" s="128">
        <v>9</v>
      </c>
      <c r="H21" s="128" t="s">
        <v>2254</v>
      </c>
    </row>
    <row r="22" spans="1:8" x14ac:dyDescent="0.35">
      <c r="A22">
        <v>1118026729</v>
      </c>
      <c r="B22" t="s">
        <v>2255</v>
      </c>
      <c r="C22">
        <v>7</v>
      </c>
      <c r="D22">
        <v>3</v>
      </c>
      <c r="E22">
        <v>3</v>
      </c>
      <c r="F22">
        <v>12</v>
      </c>
      <c r="G22" s="128">
        <v>9</v>
      </c>
      <c r="H22" s="128" t="s">
        <v>2254</v>
      </c>
    </row>
    <row r="23" spans="1:8" x14ac:dyDescent="0.35">
      <c r="A23">
        <v>2170124</v>
      </c>
      <c r="B23" t="s">
        <v>633</v>
      </c>
      <c r="C23">
        <v>8</v>
      </c>
      <c r="D23">
        <v>3</v>
      </c>
      <c r="E23">
        <v>0</v>
      </c>
      <c r="F23">
        <v>14</v>
      </c>
      <c r="G23" s="66">
        <v>11</v>
      </c>
      <c r="H23" s="66" t="s">
        <v>2250</v>
      </c>
    </row>
    <row r="24" spans="1:8" x14ac:dyDescent="0.35">
      <c r="A24">
        <v>1118009703</v>
      </c>
      <c r="B24" t="s">
        <v>2256</v>
      </c>
      <c r="C24">
        <v>7</v>
      </c>
      <c r="D24">
        <v>4</v>
      </c>
      <c r="E24">
        <v>5</v>
      </c>
      <c r="F24">
        <v>12</v>
      </c>
      <c r="G24" s="128">
        <v>8</v>
      </c>
      <c r="H24" s="128" t="s">
        <v>2254</v>
      </c>
    </row>
    <row r="26" spans="1:8" x14ac:dyDescent="0.35">
      <c r="A26" s="139" t="s">
        <v>2257</v>
      </c>
      <c r="B26" s="140"/>
      <c r="C26" s="139">
        <f>SUM(C17:C24)</f>
        <v>62</v>
      </c>
      <c r="D26" s="139">
        <f>SUM(D17:D24)</f>
        <v>12</v>
      </c>
      <c r="E26" s="139">
        <f>SUM(E17:E24)</f>
        <v>18</v>
      </c>
      <c r="F26" s="139">
        <f>SUM(F17:F24)</f>
        <v>100</v>
      </c>
      <c r="G26" s="141">
        <f>SUM(G17:G24)</f>
        <v>88</v>
      </c>
      <c r="H26" s="140"/>
    </row>
    <row r="28" spans="1:8" ht="15.5" x14ac:dyDescent="0.35">
      <c r="A28" s="135" t="s">
        <v>2258</v>
      </c>
      <c r="B28" s="136"/>
      <c r="C28" s="136"/>
      <c r="D28" s="136"/>
    </row>
    <row r="29" spans="1:8" x14ac:dyDescent="0.35">
      <c r="A29" t="s">
        <v>2259</v>
      </c>
      <c r="B29">
        <v>51</v>
      </c>
      <c r="C29" t="s">
        <v>2260</v>
      </c>
      <c r="D29" t="s">
        <v>2261</v>
      </c>
      <c r="E29">
        <v>387</v>
      </c>
    </row>
    <row r="30" spans="1:8" x14ac:dyDescent="0.35">
      <c r="A30" t="s">
        <v>2262</v>
      </c>
      <c r="B30" s="142" t="s">
        <v>2352</v>
      </c>
      <c r="C30" t="s">
        <v>2263</v>
      </c>
    </row>
    <row r="31" spans="1:8" ht="18.5" x14ac:dyDescent="0.45">
      <c r="A31" t="s">
        <v>2264</v>
      </c>
      <c r="B31" s="143">
        <v>336</v>
      </c>
      <c r="C31" t="s">
        <v>2265</v>
      </c>
    </row>
    <row r="32" spans="1:8" x14ac:dyDescent="0.35">
      <c r="A32" t="s">
        <v>2266</v>
      </c>
      <c r="B32" s="144">
        <v>0.86799999999999999</v>
      </c>
    </row>
    <row r="35" spans="1:7" ht="15.5" x14ac:dyDescent="0.35">
      <c r="A35" s="119" t="s">
        <v>2267</v>
      </c>
      <c r="B35" s="120"/>
      <c r="C35" s="120"/>
      <c r="D35" s="120"/>
      <c r="E35" s="120"/>
      <c r="F35" s="120"/>
      <c r="G35" s="120"/>
    </row>
    <row r="37" spans="1:7" x14ac:dyDescent="0.35">
      <c r="A37" s="125" t="s">
        <v>0</v>
      </c>
      <c r="B37" s="125" t="s">
        <v>2</v>
      </c>
      <c r="C37" s="125" t="s">
        <v>2268</v>
      </c>
      <c r="D37" s="125" t="s">
        <v>2269</v>
      </c>
      <c r="E37" s="125" t="s">
        <v>1914</v>
      </c>
      <c r="F37" s="125" t="s">
        <v>2270</v>
      </c>
      <c r="G37" s="125" t="s">
        <v>2271</v>
      </c>
    </row>
    <row r="38" spans="1:7" x14ac:dyDescent="0.35">
      <c r="A38">
        <v>1118028891</v>
      </c>
      <c r="B38" t="s">
        <v>1293</v>
      </c>
      <c r="C38" t="s">
        <v>2272</v>
      </c>
      <c r="D38" t="s">
        <v>2273</v>
      </c>
      <c r="E38" t="s">
        <v>1433</v>
      </c>
      <c r="F38" s="133" t="s">
        <v>2274</v>
      </c>
      <c r="G38" s="133" t="s">
        <v>2275</v>
      </c>
    </row>
    <row r="39" spans="1:7" x14ac:dyDescent="0.35">
      <c r="A39">
        <v>1118028891</v>
      </c>
      <c r="B39" t="s">
        <v>1293</v>
      </c>
      <c r="C39" t="s">
        <v>2272</v>
      </c>
      <c r="D39" t="s">
        <v>2276</v>
      </c>
      <c r="E39" t="s">
        <v>1433</v>
      </c>
      <c r="F39" s="133" t="s">
        <v>2274</v>
      </c>
      <c r="G39" s="133" t="s">
        <v>2275</v>
      </c>
    </row>
    <row r="40" spans="1:7" x14ac:dyDescent="0.35">
      <c r="A40">
        <v>1118028891</v>
      </c>
      <c r="B40" t="s">
        <v>1293</v>
      </c>
      <c r="C40" t="s">
        <v>2277</v>
      </c>
      <c r="D40" t="s">
        <v>1435</v>
      </c>
      <c r="E40" t="s">
        <v>2278</v>
      </c>
      <c r="F40" s="133" t="s">
        <v>2274</v>
      </c>
      <c r="G40" s="133" t="s">
        <v>2275</v>
      </c>
    </row>
    <row r="41" spans="1:7" x14ac:dyDescent="0.35">
      <c r="A41">
        <v>1118028891</v>
      </c>
      <c r="B41" t="s">
        <v>1293</v>
      </c>
      <c r="C41" t="s">
        <v>2279</v>
      </c>
      <c r="D41" t="s">
        <v>2280</v>
      </c>
      <c r="E41" t="s">
        <v>1433</v>
      </c>
      <c r="F41" s="133" t="s">
        <v>2274</v>
      </c>
      <c r="G41" s="133" t="s">
        <v>2275</v>
      </c>
    </row>
    <row r="42" spans="1:7" x14ac:dyDescent="0.35">
      <c r="A42">
        <v>1118028891</v>
      </c>
      <c r="B42" t="s">
        <v>1293</v>
      </c>
      <c r="C42" t="s">
        <v>2281</v>
      </c>
      <c r="D42" t="s">
        <v>1556</v>
      </c>
      <c r="E42" t="s">
        <v>1433</v>
      </c>
      <c r="F42" s="133" t="s">
        <v>2274</v>
      </c>
      <c r="G42" s="133" t="s">
        <v>2275</v>
      </c>
    </row>
    <row r="44" spans="1:7" x14ac:dyDescent="0.35">
      <c r="A44">
        <v>1117990944</v>
      </c>
      <c r="B44" t="s">
        <v>2282</v>
      </c>
      <c r="C44" t="s">
        <v>2283</v>
      </c>
      <c r="D44" t="s">
        <v>2284</v>
      </c>
      <c r="E44" t="s">
        <v>1433</v>
      </c>
      <c r="F44" s="133" t="s">
        <v>2274</v>
      </c>
      <c r="G44" s="133" t="s">
        <v>2275</v>
      </c>
    </row>
    <row r="45" spans="1:7" x14ac:dyDescent="0.35">
      <c r="A45">
        <v>1117990944</v>
      </c>
      <c r="B45" t="s">
        <v>2282</v>
      </c>
      <c r="C45" t="s">
        <v>2285</v>
      </c>
      <c r="D45" t="s">
        <v>1552</v>
      </c>
      <c r="E45" t="s">
        <v>1917</v>
      </c>
      <c r="F45" s="133" t="s">
        <v>2274</v>
      </c>
      <c r="G45" s="133" t="s">
        <v>2275</v>
      </c>
    </row>
    <row r="46" spans="1:7" x14ac:dyDescent="0.35">
      <c r="A46">
        <v>1117990944</v>
      </c>
      <c r="B46" t="s">
        <v>2282</v>
      </c>
      <c r="C46" t="s">
        <v>2286</v>
      </c>
      <c r="D46" t="s">
        <v>2287</v>
      </c>
      <c r="E46" t="s">
        <v>486</v>
      </c>
      <c r="F46" s="133" t="s">
        <v>2274</v>
      </c>
      <c r="G46" s="133" t="s">
        <v>2275</v>
      </c>
    </row>
    <row r="47" spans="1:7" x14ac:dyDescent="0.35">
      <c r="A47">
        <v>1117990944</v>
      </c>
      <c r="B47" t="s">
        <v>2282</v>
      </c>
      <c r="C47" t="s">
        <v>2288</v>
      </c>
      <c r="D47" t="s">
        <v>2289</v>
      </c>
      <c r="E47" t="s">
        <v>1433</v>
      </c>
      <c r="F47" s="133" t="s">
        <v>2274</v>
      </c>
      <c r="G47" s="133" t="s">
        <v>2275</v>
      </c>
    </row>
    <row r="49" spans="1:7" x14ac:dyDescent="0.35">
      <c r="A49">
        <v>1117975249</v>
      </c>
      <c r="B49" t="s">
        <v>1331</v>
      </c>
      <c r="C49" t="s">
        <v>2290</v>
      </c>
      <c r="D49" t="s">
        <v>2291</v>
      </c>
      <c r="E49" t="s">
        <v>2278</v>
      </c>
      <c r="F49" s="133" t="s">
        <v>2274</v>
      </c>
      <c r="G49" s="133" t="s">
        <v>2275</v>
      </c>
    </row>
    <row r="50" spans="1:7" x14ac:dyDescent="0.35">
      <c r="A50">
        <v>1117975249</v>
      </c>
      <c r="B50" t="s">
        <v>1331</v>
      </c>
      <c r="C50" t="s">
        <v>2290</v>
      </c>
      <c r="D50" t="s">
        <v>2292</v>
      </c>
      <c r="E50" t="s">
        <v>1917</v>
      </c>
      <c r="F50" s="133" t="s">
        <v>2274</v>
      </c>
      <c r="G50" s="133" t="s">
        <v>2275</v>
      </c>
    </row>
    <row r="51" spans="1:7" x14ac:dyDescent="0.35">
      <c r="A51">
        <v>1117975249</v>
      </c>
      <c r="B51" t="s">
        <v>1331</v>
      </c>
      <c r="C51" t="s">
        <v>2293</v>
      </c>
      <c r="D51" t="s">
        <v>2294</v>
      </c>
      <c r="E51" t="s">
        <v>1917</v>
      </c>
      <c r="F51" s="133" t="s">
        <v>2274</v>
      </c>
      <c r="G51" s="133" t="s">
        <v>2275</v>
      </c>
    </row>
    <row r="52" spans="1:7" x14ac:dyDescent="0.35">
      <c r="A52">
        <v>1117975249</v>
      </c>
      <c r="B52" t="s">
        <v>1331</v>
      </c>
      <c r="C52" t="s">
        <v>2295</v>
      </c>
      <c r="D52" t="s">
        <v>2296</v>
      </c>
      <c r="E52" t="s">
        <v>1493</v>
      </c>
      <c r="F52" s="133" t="s">
        <v>2274</v>
      </c>
      <c r="G52" s="133" t="s">
        <v>2275</v>
      </c>
    </row>
    <row r="54" spans="1:7" x14ac:dyDescent="0.35">
      <c r="A54">
        <v>1118000814</v>
      </c>
      <c r="B54" t="s">
        <v>2297</v>
      </c>
      <c r="C54" t="s">
        <v>2298</v>
      </c>
      <c r="D54" t="s">
        <v>1435</v>
      </c>
      <c r="E54" t="s">
        <v>2278</v>
      </c>
      <c r="F54" s="129" t="s">
        <v>2299</v>
      </c>
      <c r="G54" s="129" t="s">
        <v>2300</v>
      </c>
    </row>
    <row r="55" spans="1:7" x14ac:dyDescent="0.35">
      <c r="A55">
        <v>1118000814</v>
      </c>
      <c r="B55" t="s">
        <v>2297</v>
      </c>
      <c r="C55" t="s">
        <v>2301</v>
      </c>
      <c r="D55" t="s">
        <v>2302</v>
      </c>
      <c r="E55" t="s">
        <v>2278</v>
      </c>
      <c r="F55" s="133" t="s">
        <v>2274</v>
      </c>
      <c r="G55" s="133" t="s">
        <v>2275</v>
      </c>
    </row>
    <row r="56" spans="1:7" x14ac:dyDescent="0.35">
      <c r="A56">
        <v>1118000814</v>
      </c>
      <c r="B56" t="s">
        <v>2297</v>
      </c>
      <c r="C56" t="s">
        <v>2303</v>
      </c>
      <c r="D56" t="s">
        <v>2304</v>
      </c>
      <c r="E56" t="s">
        <v>1433</v>
      </c>
      <c r="F56" s="133" t="s">
        <v>2274</v>
      </c>
      <c r="G56" s="133" t="s">
        <v>2275</v>
      </c>
    </row>
    <row r="57" spans="1:7" x14ac:dyDescent="0.35">
      <c r="A57">
        <v>1118000814</v>
      </c>
      <c r="B57" t="s">
        <v>2297</v>
      </c>
      <c r="C57" t="s">
        <v>2305</v>
      </c>
      <c r="D57" t="s">
        <v>1717</v>
      </c>
      <c r="E57" t="s">
        <v>2278</v>
      </c>
      <c r="F57" s="133" t="s">
        <v>2274</v>
      </c>
      <c r="G57" s="133" t="s">
        <v>2275</v>
      </c>
    </row>
    <row r="60" spans="1:7" ht="15.5" x14ac:dyDescent="0.35">
      <c r="A60" s="64" t="s">
        <v>2306</v>
      </c>
      <c r="B60" s="65"/>
      <c r="C60" s="65"/>
      <c r="D60" s="65"/>
      <c r="E60" s="65"/>
      <c r="F60" s="65"/>
      <c r="G60" s="65"/>
    </row>
    <row r="62" spans="1:7" x14ac:dyDescent="0.35">
      <c r="A62" s="26">
        <v>1</v>
      </c>
      <c r="B62" t="s">
        <v>2307</v>
      </c>
    </row>
    <row r="63" spans="1:7" x14ac:dyDescent="0.35">
      <c r="A63" s="26">
        <v>2</v>
      </c>
      <c r="B63" t="s">
        <v>2308</v>
      </c>
    </row>
    <row r="64" spans="1:7" x14ac:dyDescent="0.35">
      <c r="A64" s="26">
        <v>3</v>
      </c>
      <c r="B64" t="s">
        <v>2309</v>
      </c>
    </row>
    <row r="65" spans="1:8" x14ac:dyDescent="0.35">
      <c r="A65" s="26">
        <v>4</v>
      </c>
      <c r="B65" t="s">
        <v>2310</v>
      </c>
    </row>
    <row r="66" spans="1:8" x14ac:dyDescent="0.35">
      <c r="A66" s="26">
        <v>5</v>
      </c>
      <c r="B66" t="s">
        <v>2311</v>
      </c>
    </row>
    <row r="68" spans="1:8" x14ac:dyDescent="0.35">
      <c r="A68" s="145" t="s">
        <v>2312</v>
      </c>
    </row>
    <row r="70" spans="1:8" ht="15.5" x14ac:dyDescent="0.35">
      <c r="A70" s="37" t="s">
        <v>2313</v>
      </c>
    </row>
    <row r="71" spans="1:8" x14ac:dyDescent="0.35">
      <c r="A71" s="147" t="s">
        <v>0</v>
      </c>
      <c r="B71" s="147" t="s">
        <v>1084</v>
      </c>
      <c r="C71" s="147" t="s">
        <v>2244</v>
      </c>
      <c r="D71" s="147" t="s">
        <v>2314</v>
      </c>
      <c r="E71" s="147" t="s">
        <v>2246</v>
      </c>
      <c r="F71" s="147" t="s">
        <v>2315</v>
      </c>
      <c r="G71" s="147" t="s">
        <v>2248</v>
      </c>
      <c r="H71" s="147" t="s">
        <v>2249</v>
      </c>
    </row>
    <row r="72" spans="1:8" x14ac:dyDescent="0.35">
      <c r="A72">
        <v>1118026700</v>
      </c>
      <c r="B72" t="s">
        <v>10</v>
      </c>
      <c r="C72">
        <v>3</v>
      </c>
      <c r="D72">
        <v>3</v>
      </c>
      <c r="E72">
        <v>2</v>
      </c>
      <c r="F72">
        <v>7</v>
      </c>
      <c r="G72">
        <v>4</v>
      </c>
      <c r="H72" t="s">
        <v>2316</v>
      </c>
    </row>
    <row r="73" spans="1:8" x14ac:dyDescent="0.35">
      <c r="A73">
        <v>1118027243</v>
      </c>
      <c r="B73" t="s">
        <v>23</v>
      </c>
      <c r="C73">
        <v>0</v>
      </c>
      <c r="D73" s="66">
        <v>0</v>
      </c>
      <c r="E73">
        <v>0</v>
      </c>
      <c r="F73">
        <v>5</v>
      </c>
      <c r="G73" s="66">
        <v>5</v>
      </c>
      <c r="H73" s="66" t="s">
        <v>2250</v>
      </c>
    </row>
    <row r="74" spans="1:8" x14ac:dyDescent="0.35">
      <c r="A74">
        <v>1118027261</v>
      </c>
      <c r="B74" t="s">
        <v>29</v>
      </c>
      <c r="C74">
        <v>5</v>
      </c>
      <c r="D74">
        <v>1</v>
      </c>
      <c r="E74">
        <v>0</v>
      </c>
      <c r="F74">
        <v>8</v>
      </c>
      <c r="G74" s="128">
        <v>7</v>
      </c>
      <c r="H74" s="128" t="s">
        <v>2254</v>
      </c>
    </row>
    <row r="75" spans="1:8" x14ac:dyDescent="0.35">
      <c r="A75">
        <v>1118027276</v>
      </c>
      <c r="B75" t="s">
        <v>375</v>
      </c>
      <c r="C75">
        <v>7</v>
      </c>
      <c r="D75">
        <v>2</v>
      </c>
      <c r="E75">
        <v>2</v>
      </c>
      <c r="F75">
        <v>9</v>
      </c>
      <c r="G75" s="128">
        <v>7</v>
      </c>
      <c r="H75" s="128" t="s">
        <v>2254</v>
      </c>
    </row>
    <row r="76" spans="1:8" x14ac:dyDescent="0.35">
      <c r="A76">
        <v>1118027662</v>
      </c>
      <c r="B76" t="s">
        <v>1279</v>
      </c>
      <c r="C76">
        <v>3</v>
      </c>
      <c r="D76" s="66">
        <v>0</v>
      </c>
      <c r="E76">
        <v>2</v>
      </c>
      <c r="F76">
        <v>7</v>
      </c>
      <c r="G76" s="66">
        <v>7</v>
      </c>
      <c r="H76" s="66" t="s">
        <v>2250</v>
      </c>
    </row>
    <row r="77" spans="1:8" x14ac:dyDescent="0.35">
      <c r="A77">
        <v>1118027834</v>
      </c>
      <c r="B77" t="s">
        <v>47</v>
      </c>
      <c r="C77">
        <v>4</v>
      </c>
      <c r="D77">
        <v>2</v>
      </c>
      <c r="E77">
        <v>3</v>
      </c>
      <c r="F77">
        <v>7</v>
      </c>
      <c r="G77" s="128">
        <v>5</v>
      </c>
      <c r="H77" s="128" t="s">
        <v>2254</v>
      </c>
    </row>
    <row r="78" spans="1:8" x14ac:dyDescent="0.35">
      <c r="A78">
        <v>1118027941</v>
      </c>
      <c r="B78" t="s">
        <v>2317</v>
      </c>
      <c r="C78">
        <v>2</v>
      </c>
      <c r="D78">
        <v>2</v>
      </c>
      <c r="E78">
        <v>0</v>
      </c>
      <c r="F78">
        <v>7</v>
      </c>
      <c r="G78" s="128">
        <v>5</v>
      </c>
      <c r="H78" s="128" t="s">
        <v>2254</v>
      </c>
    </row>
    <row r="79" spans="1:8" x14ac:dyDescent="0.35">
      <c r="A79">
        <v>1118028027</v>
      </c>
      <c r="B79" t="s">
        <v>59</v>
      </c>
      <c r="C79">
        <v>2</v>
      </c>
      <c r="D79" s="66">
        <v>0</v>
      </c>
      <c r="E79">
        <v>0</v>
      </c>
      <c r="F79">
        <v>5</v>
      </c>
      <c r="G79" s="66">
        <v>5</v>
      </c>
      <c r="H79" s="66" t="s">
        <v>2250</v>
      </c>
    </row>
    <row r="80" spans="1:8" x14ac:dyDescent="0.35">
      <c r="A80">
        <v>1118028038</v>
      </c>
      <c r="B80" t="s">
        <v>2173</v>
      </c>
      <c r="C80">
        <v>3</v>
      </c>
      <c r="D80">
        <v>1</v>
      </c>
      <c r="E80">
        <v>2</v>
      </c>
      <c r="F80">
        <v>7</v>
      </c>
      <c r="G80" s="128">
        <v>6</v>
      </c>
      <c r="H80" s="128" t="s">
        <v>2254</v>
      </c>
    </row>
    <row r="81" spans="1:8" x14ac:dyDescent="0.35">
      <c r="A81">
        <v>1118028201</v>
      </c>
      <c r="B81" t="s">
        <v>2318</v>
      </c>
      <c r="C81">
        <v>5</v>
      </c>
      <c r="D81">
        <v>1</v>
      </c>
      <c r="E81">
        <v>0</v>
      </c>
      <c r="F81">
        <v>7</v>
      </c>
      <c r="G81" s="128">
        <v>6</v>
      </c>
      <c r="H81" s="128" t="s">
        <v>2254</v>
      </c>
    </row>
    <row r="82" spans="1:8" x14ac:dyDescent="0.35">
      <c r="A82">
        <v>1118028376</v>
      </c>
      <c r="B82" t="s">
        <v>2319</v>
      </c>
      <c r="C82">
        <v>2</v>
      </c>
      <c r="D82">
        <v>1</v>
      </c>
      <c r="E82">
        <v>0</v>
      </c>
      <c r="F82">
        <v>7</v>
      </c>
      <c r="G82" s="128">
        <v>6</v>
      </c>
      <c r="H82" s="128" t="s">
        <v>2254</v>
      </c>
    </row>
    <row r="83" spans="1:8" x14ac:dyDescent="0.35">
      <c r="A83">
        <v>1118028657</v>
      </c>
      <c r="B83" t="s">
        <v>445</v>
      </c>
      <c r="C83">
        <v>3</v>
      </c>
      <c r="D83" s="66">
        <v>0</v>
      </c>
      <c r="E83">
        <v>0</v>
      </c>
      <c r="F83">
        <v>6</v>
      </c>
      <c r="G83" s="66">
        <v>6</v>
      </c>
      <c r="H83" s="66" t="s">
        <v>2250</v>
      </c>
    </row>
    <row r="84" spans="1:8" x14ac:dyDescent="0.35">
      <c r="A84" s="139" t="s">
        <v>2320</v>
      </c>
      <c r="B84" s="139" t="s">
        <v>2321</v>
      </c>
      <c r="C84" s="139">
        <v>39</v>
      </c>
      <c r="D84" s="139">
        <v>13</v>
      </c>
      <c r="E84" s="139">
        <v>11</v>
      </c>
      <c r="F84" s="139">
        <v>82</v>
      </c>
      <c r="G84" s="141">
        <v>69</v>
      </c>
      <c r="H84" s="148" t="s">
        <v>2322</v>
      </c>
    </row>
    <row r="86" spans="1:8" ht="15.5" x14ac:dyDescent="0.35">
      <c r="A86" s="149" t="s">
        <v>2323</v>
      </c>
    </row>
    <row r="87" spans="1:8" x14ac:dyDescent="0.35">
      <c r="A87" s="150" t="s">
        <v>0</v>
      </c>
      <c r="B87" s="150" t="s">
        <v>1084</v>
      </c>
      <c r="C87" s="150" t="s">
        <v>2244</v>
      </c>
      <c r="D87" s="150" t="s">
        <v>2314</v>
      </c>
      <c r="E87" s="150" t="s">
        <v>2246</v>
      </c>
      <c r="F87" s="150" t="s">
        <v>2315</v>
      </c>
      <c r="G87" s="150" t="s">
        <v>2248</v>
      </c>
      <c r="H87" s="150" t="s">
        <v>2249</v>
      </c>
    </row>
    <row r="88" spans="1:8" x14ac:dyDescent="0.35">
      <c r="A88">
        <v>1118028681</v>
      </c>
      <c r="B88" t="s">
        <v>88</v>
      </c>
      <c r="C88">
        <v>6</v>
      </c>
      <c r="D88">
        <v>1</v>
      </c>
      <c r="E88">
        <v>0</v>
      </c>
      <c r="F88">
        <v>8</v>
      </c>
      <c r="G88" s="128">
        <v>7</v>
      </c>
      <c r="H88" s="128" t="s">
        <v>2254</v>
      </c>
    </row>
    <row r="89" spans="1:8" x14ac:dyDescent="0.35">
      <c r="A89">
        <v>1118028828</v>
      </c>
      <c r="B89" t="s">
        <v>460</v>
      </c>
      <c r="C89">
        <v>8</v>
      </c>
      <c r="D89">
        <v>1</v>
      </c>
      <c r="E89">
        <v>1</v>
      </c>
      <c r="F89">
        <v>9</v>
      </c>
      <c r="G89" s="128">
        <v>8</v>
      </c>
      <c r="H89" s="128" t="s">
        <v>2254</v>
      </c>
    </row>
    <row r="90" spans="1:8" x14ac:dyDescent="0.35">
      <c r="A90">
        <v>1118028833</v>
      </c>
      <c r="B90" t="s">
        <v>2324</v>
      </c>
      <c r="C90">
        <v>3</v>
      </c>
      <c r="D90" s="66">
        <v>0</v>
      </c>
      <c r="E90">
        <v>5</v>
      </c>
      <c r="F90">
        <v>6</v>
      </c>
      <c r="G90" s="66">
        <v>6</v>
      </c>
      <c r="H90" s="66" t="s">
        <v>2250</v>
      </c>
    </row>
    <row r="91" spans="1:8" x14ac:dyDescent="0.35">
      <c r="A91">
        <v>1118028887</v>
      </c>
      <c r="B91" t="s">
        <v>105</v>
      </c>
      <c r="C91">
        <v>3</v>
      </c>
      <c r="D91" s="66">
        <v>0</v>
      </c>
      <c r="E91">
        <v>2</v>
      </c>
      <c r="F91">
        <v>6</v>
      </c>
      <c r="G91" s="66">
        <v>6</v>
      </c>
      <c r="H91" s="66" t="s">
        <v>2250</v>
      </c>
    </row>
    <row r="92" spans="1:8" x14ac:dyDescent="0.35">
      <c r="A92">
        <v>2162667</v>
      </c>
      <c r="B92" t="s">
        <v>475</v>
      </c>
      <c r="C92">
        <v>7</v>
      </c>
      <c r="D92" s="66">
        <v>0</v>
      </c>
      <c r="E92">
        <v>1</v>
      </c>
      <c r="F92">
        <v>10</v>
      </c>
      <c r="G92" s="66">
        <v>10</v>
      </c>
      <c r="H92" s="66" t="s">
        <v>2250</v>
      </c>
    </row>
    <row r="93" spans="1:8" x14ac:dyDescent="0.35">
      <c r="A93">
        <v>1118022146</v>
      </c>
      <c r="B93" t="s">
        <v>2325</v>
      </c>
      <c r="C93">
        <v>7</v>
      </c>
      <c r="D93" s="66">
        <v>3</v>
      </c>
      <c r="E93">
        <v>3</v>
      </c>
      <c r="F93">
        <v>10</v>
      </c>
      <c r="G93" s="128">
        <v>7</v>
      </c>
      <c r="H93" s="128" t="s">
        <v>2254</v>
      </c>
    </row>
    <row r="94" spans="1:8" x14ac:dyDescent="0.35">
      <c r="A94">
        <v>1118025212</v>
      </c>
      <c r="B94" t="s">
        <v>129</v>
      </c>
      <c r="C94">
        <v>2</v>
      </c>
      <c r="D94" s="66">
        <v>0</v>
      </c>
      <c r="E94">
        <v>2</v>
      </c>
      <c r="F94">
        <v>6</v>
      </c>
      <c r="G94" s="66">
        <v>6</v>
      </c>
      <c r="H94" s="66" t="s">
        <v>2250</v>
      </c>
    </row>
    <row r="95" spans="1:8" x14ac:dyDescent="0.35">
      <c r="A95">
        <v>1117984105</v>
      </c>
      <c r="B95" t="s">
        <v>2326</v>
      </c>
      <c r="C95">
        <v>2</v>
      </c>
      <c r="D95" s="66">
        <v>0</v>
      </c>
      <c r="E95">
        <v>2</v>
      </c>
      <c r="F95">
        <v>6</v>
      </c>
      <c r="G95" s="66">
        <v>6</v>
      </c>
      <c r="H95" s="66" t="s">
        <v>2250</v>
      </c>
    </row>
    <row r="96" spans="1:8" x14ac:dyDescent="0.35">
      <c r="A96">
        <v>1117960588</v>
      </c>
      <c r="B96" t="s">
        <v>2327</v>
      </c>
      <c r="C96">
        <v>4</v>
      </c>
      <c r="D96" s="66">
        <v>3</v>
      </c>
      <c r="E96">
        <v>2</v>
      </c>
      <c r="F96">
        <v>7</v>
      </c>
      <c r="G96" s="66">
        <v>4</v>
      </c>
      <c r="H96" s="66" t="s">
        <v>2316</v>
      </c>
    </row>
    <row r="97" spans="1:8" x14ac:dyDescent="0.35">
      <c r="A97">
        <v>1118009739</v>
      </c>
      <c r="B97" t="s">
        <v>517</v>
      </c>
      <c r="C97">
        <v>2</v>
      </c>
      <c r="D97" s="66">
        <v>0</v>
      </c>
      <c r="E97">
        <v>0</v>
      </c>
      <c r="F97">
        <v>6</v>
      </c>
      <c r="G97" s="66">
        <v>6</v>
      </c>
      <c r="H97" s="66" t="s">
        <v>2250</v>
      </c>
    </row>
    <row r="98" spans="1:8" x14ac:dyDescent="0.35">
      <c r="A98">
        <v>1118020225</v>
      </c>
      <c r="B98" t="s">
        <v>2328</v>
      </c>
      <c r="C98">
        <v>5</v>
      </c>
      <c r="D98" s="66">
        <v>2</v>
      </c>
      <c r="E98">
        <v>3</v>
      </c>
      <c r="F98">
        <v>7</v>
      </c>
      <c r="G98" s="128">
        <v>5</v>
      </c>
      <c r="H98" s="128" t="s">
        <v>2254</v>
      </c>
    </row>
    <row r="99" spans="1:8" x14ac:dyDescent="0.35">
      <c r="A99">
        <v>1118003709</v>
      </c>
      <c r="B99" t="s">
        <v>164</v>
      </c>
      <c r="C99">
        <v>4</v>
      </c>
      <c r="D99" s="66">
        <v>0</v>
      </c>
      <c r="E99">
        <v>0</v>
      </c>
      <c r="F99">
        <v>6</v>
      </c>
      <c r="G99" s="66">
        <v>6</v>
      </c>
      <c r="H99" s="66" t="s">
        <v>2250</v>
      </c>
    </row>
    <row r="100" spans="1:8" x14ac:dyDescent="0.35">
      <c r="A100" s="139" t="s">
        <v>2329</v>
      </c>
      <c r="B100" s="139" t="s">
        <v>2321</v>
      </c>
      <c r="C100" s="139">
        <v>53</v>
      </c>
      <c r="D100" s="141">
        <v>10</v>
      </c>
      <c r="E100" s="139">
        <v>21</v>
      </c>
      <c r="F100" s="139">
        <v>87</v>
      </c>
      <c r="G100" s="141">
        <v>77</v>
      </c>
      <c r="H100" s="141" t="s">
        <v>2330</v>
      </c>
    </row>
    <row r="102" spans="1:8" ht="15.5" x14ac:dyDescent="0.35">
      <c r="A102" s="151" t="s">
        <v>2331</v>
      </c>
    </row>
    <row r="103" spans="1:8" x14ac:dyDescent="0.35">
      <c r="A103" s="152" t="s">
        <v>0</v>
      </c>
      <c r="B103" s="152" t="s">
        <v>1084</v>
      </c>
      <c r="C103" s="152" t="s">
        <v>2244</v>
      </c>
      <c r="D103" s="152" t="s">
        <v>2314</v>
      </c>
      <c r="E103" s="152" t="s">
        <v>2246</v>
      </c>
      <c r="F103" s="152" t="s">
        <v>2315</v>
      </c>
      <c r="G103" s="152" t="s">
        <v>2248</v>
      </c>
      <c r="H103" s="152" t="s">
        <v>2249</v>
      </c>
    </row>
    <row r="104" spans="1:8" x14ac:dyDescent="0.35">
      <c r="A104">
        <v>1118017586</v>
      </c>
      <c r="B104" t="s">
        <v>2332</v>
      </c>
      <c r="C104">
        <v>2</v>
      </c>
      <c r="D104">
        <v>1</v>
      </c>
      <c r="E104">
        <v>2</v>
      </c>
      <c r="F104">
        <v>7</v>
      </c>
      <c r="G104" s="128">
        <v>6</v>
      </c>
      <c r="H104" s="128" t="s">
        <v>2254</v>
      </c>
    </row>
    <row r="105" spans="1:8" x14ac:dyDescent="0.35">
      <c r="A105">
        <v>1118025956</v>
      </c>
      <c r="B105" t="s">
        <v>178</v>
      </c>
      <c r="C105">
        <v>2</v>
      </c>
      <c r="D105" s="66">
        <v>0</v>
      </c>
      <c r="E105">
        <v>0</v>
      </c>
      <c r="F105">
        <v>6</v>
      </c>
      <c r="G105" s="66">
        <v>6</v>
      </c>
      <c r="H105" s="66" t="s">
        <v>2250</v>
      </c>
    </row>
    <row r="106" spans="1:8" x14ac:dyDescent="0.35">
      <c r="A106">
        <v>2164100</v>
      </c>
      <c r="B106" t="s">
        <v>184</v>
      </c>
      <c r="C106">
        <v>2</v>
      </c>
      <c r="D106" s="66">
        <v>0</v>
      </c>
      <c r="E106">
        <v>2</v>
      </c>
      <c r="F106">
        <v>6</v>
      </c>
      <c r="G106" s="66">
        <v>6</v>
      </c>
      <c r="H106" s="66" t="s">
        <v>2250</v>
      </c>
    </row>
    <row r="107" spans="1:8" x14ac:dyDescent="0.35">
      <c r="A107">
        <v>2165052</v>
      </c>
      <c r="B107" t="s">
        <v>191</v>
      </c>
      <c r="C107">
        <v>4</v>
      </c>
      <c r="D107">
        <v>5</v>
      </c>
      <c r="E107">
        <v>0</v>
      </c>
      <c r="F107">
        <v>8</v>
      </c>
      <c r="G107">
        <v>3</v>
      </c>
      <c r="H107" t="s">
        <v>2316</v>
      </c>
    </row>
    <row r="108" spans="1:8" x14ac:dyDescent="0.35">
      <c r="A108">
        <v>2165301</v>
      </c>
      <c r="B108" t="s">
        <v>2333</v>
      </c>
      <c r="C108">
        <v>2</v>
      </c>
      <c r="D108">
        <v>1</v>
      </c>
      <c r="E108">
        <v>1</v>
      </c>
      <c r="F108">
        <v>7</v>
      </c>
      <c r="G108" s="128">
        <v>6</v>
      </c>
      <c r="H108" s="128" t="s">
        <v>2254</v>
      </c>
    </row>
    <row r="109" spans="1:8" x14ac:dyDescent="0.35">
      <c r="A109">
        <v>1116898892</v>
      </c>
      <c r="B109" t="s">
        <v>204</v>
      </c>
      <c r="C109">
        <v>4</v>
      </c>
      <c r="D109">
        <v>1</v>
      </c>
      <c r="E109">
        <v>3</v>
      </c>
      <c r="F109">
        <v>7</v>
      </c>
      <c r="G109" s="128">
        <v>6</v>
      </c>
      <c r="H109" s="128" t="s">
        <v>2254</v>
      </c>
    </row>
    <row r="110" spans="1:8" x14ac:dyDescent="0.35">
      <c r="A110">
        <v>1118023904</v>
      </c>
      <c r="B110" t="s">
        <v>576</v>
      </c>
      <c r="C110">
        <v>4</v>
      </c>
      <c r="D110" s="66">
        <v>0</v>
      </c>
      <c r="E110">
        <v>0</v>
      </c>
      <c r="F110">
        <v>7</v>
      </c>
      <c r="G110" s="66">
        <v>7</v>
      </c>
      <c r="H110" s="66" t="s">
        <v>2250</v>
      </c>
    </row>
    <row r="111" spans="1:8" x14ac:dyDescent="0.35">
      <c r="A111">
        <v>1117980907</v>
      </c>
      <c r="B111" t="s">
        <v>582</v>
      </c>
      <c r="C111">
        <v>4</v>
      </c>
      <c r="D111" s="66">
        <v>0</v>
      </c>
      <c r="E111">
        <v>0</v>
      </c>
      <c r="F111">
        <v>7</v>
      </c>
      <c r="G111" s="66">
        <v>7</v>
      </c>
      <c r="H111" s="66" t="s">
        <v>2250</v>
      </c>
    </row>
    <row r="112" spans="1:8" x14ac:dyDescent="0.35">
      <c r="A112">
        <v>1117961954</v>
      </c>
      <c r="B112" t="s">
        <v>226</v>
      </c>
      <c r="C112">
        <v>4</v>
      </c>
      <c r="D112">
        <v>1</v>
      </c>
      <c r="E112">
        <v>2</v>
      </c>
      <c r="F112">
        <v>7</v>
      </c>
      <c r="G112" s="128">
        <v>6</v>
      </c>
      <c r="H112" s="128" t="s">
        <v>2254</v>
      </c>
    </row>
    <row r="113" spans="1:8" x14ac:dyDescent="0.35">
      <c r="A113">
        <v>1117982053</v>
      </c>
      <c r="B113" t="s">
        <v>233</v>
      </c>
      <c r="C113">
        <v>5</v>
      </c>
      <c r="D113">
        <v>2</v>
      </c>
      <c r="E113">
        <v>0</v>
      </c>
      <c r="F113">
        <v>9</v>
      </c>
      <c r="G113" s="128">
        <v>7</v>
      </c>
      <c r="H113" s="128" t="s">
        <v>2254</v>
      </c>
    </row>
    <row r="114" spans="1:8" x14ac:dyDescent="0.35">
      <c r="A114">
        <v>1118018461</v>
      </c>
      <c r="B114" t="s">
        <v>240</v>
      </c>
      <c r="C114">
        <v>6</v>
      </c>
      <c r="D114">
        <v>2</v>
      </c>
      <c r="E114">
        <v>6</v>
      </c>
      <c r="F114">
        <v>8</v>
      </c>
      <c r="G114" s="128">
        <v>6</v>
      </c>
      <c r="H114" s="128" t="s">
        <v>2254</v>
      </c>
    </row>
    <row r="115" spans="1:8" x14ac:dyDescent="0.35">
      <c r="A115">
        <v>1118018714</v>
      </c>
      <c r="B115" t="s">
        <v>245</v>
      </c>
      <c r="C115">
        <v>5</v>
      </c>
      <c r="D115">
        <v>2</v>
      </c>
      <c r="E115">
        <v>1</v>
      </c>
      <c r="F115">
        <v>8</v>
      </c>
      <c r="G115" s="128">
        <v>6</v>
      </c>
      <c r="H115" s="128" t="s">
        <v>2254</v>
      </c>
    </row>
    <row r="116" spans="1:8" x14ac:dyDescent="0.35">
      <c r="A116" s="139" t="s">
        <v>2334</v>
      </c>
      <c r="B116" s="139" t="s">
        <v>2321</v>
      </c>
      <c r="C116" s="139">
        <v>44</v>
      </c>
      <c r="D116" s="139">
        <v>15</v>
      </c>
      <c r="E116" s="139">
        <v>17</v>
      </c>
      <c r="F116" s="139">
        <v>87</v>
      </c>
      <c r="G116" s="141">
        <v>72</v>
      </c>
      <c r="H116" s="148" t="s">
        <v>2322</v>
      </c>
    </row>
    <row r="118" spans="1:8" ht="15.5" x14ac:dyDescent="0.35">
      <c r="A118" s="60" t="s">
        <v>2335</v>
      </c>
    </row>
    <row r="119" spans="1:8" x14ac:dyDescent="0.35">
      <c r="A119" s="153" t="s">
        <v>0</v>
      </c>
      <c r="B119" s="153" t="s">
        <v>1084</v>
      </c>
      <c r="C119" s="153" t="s">
        <v>2244</v>
      </c>
      <c r="D119" s="153" t="s">
        <v>2314</v>
      </c>
      <c r="E119" s="153" t="s">
        <v>2246</v>
      </c>
      <c r="F119" s="153" t="s">
        <v>2315</v>
      </c>
      <c r="G119" s="153" t="s">
        <v>2248</v>
      </c>
      <c r="H119" s="153" t="s">
        <v>2249</v>
      </c>
    </row>
    <row r="120" spans="1:8" x14ac:dyDescent="0.35">
      <c r="A120">
        <v>1118031991</v>
      </c>
      <c r="B120" t="s">
        <v>2336</v>
      </c>
      <c r="C120">
        <v>1</v>
      </c>
      <c r="D120" s="66">
        <v>0</v>
      </c>
      <c r="E120">
        <v>1</v>
      </c>
      <c r="F120">
        <v>5</v>
      </c>
      <c r="G120" s="66">
        <v>5</v>
      </c>
      <c r="H120" s="66" t="s">
        <v>2250</v>
      </c>
    </row>
    <row r="121" spans="1:8" x14ac:dyDescent="0.35">
      <c r="A121">
        <v>1116884561</v>
      </c>
      <c r="B121" t="s">
        <v>2337</v>
      </c>
      <c r="C121">
        <v>4</v>
      </c>
      <c r="D121" s="66">
        <v>0</v>
      </c>
      <c r="E121">
        <v>6</v>
      </c>
      <c r="F121">
        <v>8</v>
      </c>
      <c r="G121" s="66">
        <v>8</v>
      </c>
      <c r="H121" s="66" t="s">
        <v>2250</v>
      </c>
    </row>
    <row r="122" spans="1:8" x14ac:dyDescent="0.35">
      <c r="A122">
        <v>1117995368</v>
      </c>
      <c r="B122" t="s">
        <v>2338</v>
      </c>
      <c r="C122">
        <v>1</v>
      </c>
      <c r="D122" s="66">
        <v>0</v>
      </c>
      <c r="E122">
        <v>1</v>
      </c>
      <c r="F122">
        <v>6</v>
      </c>
      <c r="G122" s="66">
        <v>6</v>
      </c>
      <c r="H122" s="66" t="s">
        <v>2250</v>
      </c>
    </row>
    <row r="123" spans="1:8" x14ac:dyDescent="0.35">
      <c r="A123">
        <v>1118028777</v>
      </c>
      <c r="B123" t="s">
        <v>2339</v>
      </c>
      <c r="C123">
        <v>3</v>
      </c>
      <c r="D123" s="66">
        <v>0</v>
      </c>
      <c r="E123">
        <v>2</v>
      </c>
      <c r="F123">
        <v>6</v>
      </c>
      <c r="G123" s="66">
        <v>6</v>
      </c>
      <c r="H123" s="66" t="s">
        <v>2250</v>
      </c>
    </row>
    <row r="124" spans="1:8" x14ac:dyDescent="0.35">
      <c r="A124">
        <v>1118028048</v>
      </c>
      <c r="B124" t="s">
        <v>2340</v>
      </c>
      <c r="C124">
        <v>3</v>
      </c>
      <c r="D124" s="66">
        <v>1</v>
      </c>
      <c r="E124">
        <v>5</v>
      </c>
      <c r="F124">
        <v>6</v>
      </c>
      <c r="G124" s="128">
        <v>5</v>
      </c>
      <c r="H124" s="128" t="s">
        <v>2254</v>
      </c>
    </row>
    <row r="125" spans="1:8" x14ac:dyDescent="0.35">
      <c r="A125" s="139" t="s">
        <v>2341</v>
      </c>
      <c r="B125" s="139" t="s">
        <v>2342</v>
      </c>
      <c r="C125" s="139">
        <v>12</v>
      </c>
      <c r="D125" s="141">
        <v>1</v>
      </c>
      <c r="E125" s="139">
        <v>15</v>
      </c>
      <c r="F125" s="139">
        <v>31</v>
      </c>
      <c r="G125" s="141">
        <v>30</v>
      </c>
      <c r="H125" s="141" t="s">
        <v>2322</v>
      </c>
    </row>
    <row r="127" spans="1:8" ht="18.5" x14ac:dyDescent="0.45">
      <c r="A127" s="154" t="s">
        <v>2343</v>
      </c>
    </row>
    <row r="128" spans="1:8" ht="15.5" x14ac:dyDescent="0.35">
      <c r="A128" s="155" t="s">
        <v>2344</v>
      </c>
      <c r="B128" s="155" t="s">
        <v>2345</v>
      </c>
      <c r="C128" s="155">
        <v>210</v>
      </c>
      <c r="D128" s="155">
        <v>51</v>
      </c>
      <c r="E128" s="155">
        <v>67</v>
      </c>
      <c r="F128" s="155">
        <v>387</v>
      </c>
      <c r="G128" s="156">
        <v>336</v>
      </c>
      <c r="H128" s="155" t="s">
        <v>2346</v>
      </c>
    </row>
    <row r="130" spans="1:3" ht="15.5" x14ac:dyDescent="0.35">
      <c r="A130" s="157" t="s">
        <v>2347</v>
      </c>
    </row>
    <row r="131" spans="1:3" x14ac:dyDescent="0.35">
      <c r="A131" s="158" t="s">
        <v>2348</v>
      </c>
      <c r="B131" s="158" t="s">
        <v>2349</v>
      </c>
      <c r="C131" s="158" t="s">
        <v>2350</v>
      </c>
    </row>
    <row r="132" spans="1:3" x14ac:dyDescent="0.35">
      <c r="A132" t="s">
        <v>2351</v>
      </c>
      <c r="B132" s="66" t="s">
        <v>2352</v>
      </c>
      <c r="C132" t="s">
        <v>2353</v>
      </c>
    </row>
    <row r="133" spans="1:3" x14ac:dyDescent="0.35">
      <c r="A133" t="s">
        <v>2354</v>
      </c>
      <c r="B133" s="159">
        <v>0.86799999999999999</v>
      </c>
      <c r="C133" t="s">
        <v>2355</v>
      </c>
    </row>
    <row r="134" spans="1:3" x14ac:dyDescent="0.35">
      <c r="A134" t="s">
        <v>2356</v>
      </c>
      <c r="B134" s="66" t="s">
        <v>2357</v>
      </c>
      <c r="C134" t="s">
        <v>2358</v>
      </c>
    </row>
    <row r="135" spans="1:3" x14ac:dyDescent="0.35">
      <c r="A135" t="s">
        <v>2359</v>
      </c>
      <c r="B135" s="26">
        <v>7.9</v>
      </c>
      <c r="C135" t="s">
        <v>2360</v>
      </c>
    </row>
    <row r="136" spans="1:3" x14ac:dyDescent="0.35">
      <c r="A136" t="s">
        <v>2361</v>
      </c>
      <c r="B136" s="26">
        <v>1.04</v>
      </c>
      <c r="C136" t="s">
        <v>2362</v>
      </c>
    </row>
    <row r="138" spans="1:3" ht="15.5" x14ac:dyDescent="0.35">
      <c r="A138" s="160" t="s">
        <v>2363</v>
      </c>
    </row>
    <row r="139" spans="1:3" x14ac:dyDescent="0.35">
      <c r="A139" s="26" t="s">
        <v>2364</v>
      </c>
      <c r="B139" t="s">
        <v>2365</v>
      </c>
    </row>
    <row r="140" spans="1:3" x14ac:dyDescent="0.35">
      <c r="A140" s="66" t="s">
        <v>2366</v>
      </c>
      <c r="B140" t="s">
        <v>2367</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8F172-401D-4ECC-8D87-B6FB3EF09F1E}">
  <sheetPr>
    <tabColor rgb="FF00B050"/>
  </sheetPr>
  <dimension ref="A1:H475"/>
  <sheetViews>
    <sheetView topLeftCell="C1" workbookViewId="0">
      <pane ySplit="1" topLeftCell="A401" activePane="bottomLeft" state="frozen"/>
      <selection activeCell="D1" sqref="D1"/>
      <selection pane="bottomLeft" activeCell="D372" sqref="D372"/>
    </sheetView>
  </sheetViews>
  <sheetFormatPr baseColWidth="10" defaultRowHeight="14.5" x14ac:dyDescent="0.35"/>
  <cols>
    <col min="1" max="1" width="10.81640625" bestFit="1" customWidth="1"/>
    <col min="2" max="2" width="26.90625" bestFit="1" customWidth="1"/>
    <col min="3" max="3" width="43.26953125" bestFit="1" customWidth="1"/>
    <col min="4" max="4" width="38.81640625" bestFit="1" customWidth="1"/>
    <col min="5" max="5" width="9.26953125" bestFit="1" customWidth="1"/>
    <col min="6" max="6" width="11" bestFit="1" customWidth="1"/>
    <col min="7" max="7" width="7.6328125" bestFit="1" customWidth="1"/>
  </cols>
  <sheetData>
    <row r="1" spans="1:8" x14ac:dyDescent="0.35">
      <c r="A1" s="125" t="s">
        <v>0</v>
      </c>
      <c r="B1" s="125" t="s">
        <v>2</v>
      </c>
      <c r="C1" s="125" t="s">
        <v>2268</v>
      </c>
      <c r="D1" s="125" t="s">
        <v>2269</v>
      </c>
      <c r="E1" s="125" t="s">
        <v>1914</v>
      </c>
      <c r="F1" s="125" t="s">
        <v>2270</v>
      </c>
      <c r="G1" s="125" t="s">
        <v>2271</v>
      </c>
      <c r="H1" s="146" t="s">
        <v>1914</v>
      </c>
    </row>
    <row r="2" spans="1:8" x14ac:dyDescent="0.35">
      <c r="A2">
        <v>1118026729</v>
      </c>
      <c r="B2" t="s">
        <v>18</v>
      </c>
      <c r="C2" t="s">
        <v>2368</v>
      </c>
      <c r="D2" t="s">
        <v>2369</v>
      </c>
      <c r="E2" s="161" t="s">
        <v>1917</v>
      </c>
      <c r="F2" t="s">
        <v>2274</v>
      </c>
      <c r="G2" s="66" t="s">
        <v>2275</v>
      </c>
    </row>
    <row r="3" spans="1:8" x14ac:dyDescent="0.35">
      <c r="A3">
        <v>1118026729</v>
      </c>
      <c r="B3" t="s">
        <v>18</v>
      </c>
      <c r="C3" t="s">
        <v>2368</v>
      </c>
      <c r="D3" t="s">
        <v>2370</v>
      </c>
      <c r="E3" s="162" t="s">
        <v>1433</v>
      </c>
      <c r="F3" t="s">
        <v>2274</v>
      </c>
      <c r="G3" s="66" t="s">
        <v>2275</v>
      </c>
    </row>
    <row r="4" spans="1:8" x14ac:dyDescent="0.35">
      <c r="A4">
        <v>1118026729</v>
      </c>
      <c r="B4" t="s">
        <v>18</v>
      </c>
      <c r="C4" t="s">
        <v>2371</v>
      </c>
      <c r="D4" t="s">
        <v>1552</v>
      </c>
      <c r="E4" s="162" t="s">
        <v>1433</v>
      </c>
      <c r="F4" t="s">
        <v>2299</v>
      </c>
      <c r="G4" s="163" t="s">
        <v>2300</v>
      </c>
    </row>
    <row r="5" spans="1:8" x14ac:dyDescent="0.35">
      <c r="A5">
        <v>1118026729</v>
      </c>
      <c r="B5" t="s">
        <v>18</v>
      </c>
      <c r="C5" t="s">
        <v>2371</v>
      </c>
      <c r="D5" t="s">
        <v>2372</v>
      </c>
      <c r="E5" s="65" t="s">
        <v>2278</v>
      </c>
      <c r="F5" t="s">
        <v>2274</v>
      </c>
      <c r="G5" s="66" t="s">
        <v>2275</v>
      </c>
    </row>
    <row r="6" spans="1:8" x14ac:dyDescent="0.35">
      <c r="A6">
        <v>1118026729</v>
      </c>
      <c r="B6" t="s">
        <v>18</v>
      </c>
      <c r="C6" t="s">
        <v>2371</v>
      </c>
      <c r="D6" t="s">
        <v>2373</v>
      </c>
      <c r="E6" s="162" t="s">
        <v>1433</v>
      </c>
      <c r="F6" t="s">
        <v>2274</v>
      </c>
      <c r="G6" s="66" t="s">
        <v>2275</v>
      </c>
    </row>
    <row r="7" spans="1:8" x14ac:dyDescent="0.35">
      <c r="A7">
        <v>1118026729</v>
      </c>
      <c r="B7" t="s">
        <v>18</v>
      </c>
      <c r="C7" t="s">
        <v>2374</v>
      </c>
      <c r="D7" t="s">
        <v>1656</v>
      </c>
      <c r="E7" s="162" t="s">
        <v>1433</v>
      </c>
      <c r="F7" t="s">
        <v>2299</v>
      </c>
      <c r="G7" s="164" t="s">
        <v>2300</v>
      </c>
    </row>
    <row r="8" spans="1:8" x14ac:dyDescent="0.35">
      <c r="A8">
        <v>1118026729</v>
      </c>
      <c r="B8" t="s">
        <v>18</v>
      </c>
      <c r="C8" t="s">
        <v>2374</v>
      </c>
      <c r="D8" t="s">
        <v>2375</v>
      </c>
      <c r="E8" s="162" t="s">
        <v>1433</v>
      </c>
      <c r="F8" t="s">
        <v>2274</v>
      </c>
      <c r="G8" s="66" t="s">
        <v>2275</v>
      </c>
    </row>
    <row r="9" spans="1:8" x14ac:dyDescent="0.35">
      <c r="A9">
        <v>1118026729</v>
      </c>
      <c r="B9" t="s">
        <v>18</v>
      </c>
      <c r="C9" t="s">
        <v>2374</v>
      </c>
      <c r="D9" t="s">
        <v>2376</v>
      </c>
      <c r="E9" s="162" t="s">
        <v>1433</v>
      </c>
      <c r="F9" t="s">
        <v>2274</v>
      </c>
      <c r="G9" s="66" t="s">
        <v>2275</v>
      </c>
    </row>
    <row r="10" spans="1:8" x14ac:dyDescent="0.35">
      <c r="A10">
        <v>1118026729</v>
      </c>
      <c r="B10" t="s">
        <v>18</v>
      </c>
      <c r="C10" t="s">
        <v>2374</v>
      </c>
      <c r="D10" t="s">
        <v>1435</v>
      </c>
      <c r="E10" s="65" t="s">
        <v>2278</v>
      </c>
      <c r="F10" t="s">
        <v>2274</v>
      </c>
      <c r="G10" s="66" t="s">
        <v>2275</v>
      </c>
    </row>
    <row r="11" spans="1:8" x14ac:dyDescent="0.35">
      <c r="A11">
        <v>1118026729</v>
      </c>
      <c r="B11" t="s">
        <v>18</v>
      </c>
      <c r="C11" t="s">
        <v>2377</v>
      </c>
      <c r="D11" t="s">
        <v>1556</v>
      </c>
      <c r="E11" s="162" t="s">
        <v>1433</v>
      </c>
      <c r="F11" t="s">
        <v>2299</v>
      </c>
      <c r="G11" s="164" t="s">
        <v>2300</v>
      </c>
    </row>
    <row r="12" spans="1:8" x14ac:dyDescent="0.35">
      <c r="A12">
        <v>1118026729</v>
      </c>
      <c r="B12" t="s">
        <v>18</v>
      </c>
      <c r="C12" t="s">
        <v>2377</v>
      </c>
      <c r="D12" t="s">
        <v>2378</v>
      </c>
      <c r="E12" s="162" t="s">
        <v>1433</v>
      </c>
      <c r="F12" t="s">
        <v>2274</v>
      </c>
      <c r="G12" s="66" t="s">
        <v>2275</v>
      </c>
    </row>
    <row r="13" spans="1:8" x14ac:dyDescent="0.35">
      <c r="A13">
        <v>1118026729</v>
      </c>
      <c r="B13" t="s">
        <v>18</v>
      </c>
      <c r="C13" t="s">
        <v>2377</v>
      </c>
      <c r="D13" t="s">
        <v>1482</v>
      </c>
      <c r="E13" s="65" t="s">
        <v>2278</v>
      </c>
      <c r="F13" t="s">
        <v>2274</v>
      </c>
      <c r="G13" s="66" t="s">
        <v>2275</v>
      </c>
    </row>
    <row r="14" spans="1:8" x14ac:dyDescent="0.35">
      <c r="A14">
        <v>1118026729</v>
      </c>
      <c r="B14" t="s">
        <v>18</v>
      </c>
      <c r="C14" t="s">
        <v>2379</v>
      </c>
      <c r="D14" t="s">
        <v>1762</v>
      </c>
      <c r="E14" s="123" t="s">
        <v>1493</v>
      </c>
      <c r="F14" t="s">
        <v>2299</v>
      </c>
      <c r="G14" s="164" t="s">
        <v>2300</v>
      </c>
    </row>
    <row r="15" spans="1:8" x14ac:dyDescent="0.35">
      <c r="A15">
        <v>1118026729</v>
      </c>
      <c r="B15" t="s">
        <v>18</v>
      </c>
      <c r="C15" t="s">
        <v>2379</v>
      </c>
      <c r="D15" t="s">
        <v>2380</v>
      </c>
      <c r="E15" s="161" t="s">
        <v>1917</v>
      </c>
      <c r="F15" t="s">
        <v>2274</v>
      </c>
      <c r="G15" s="66" t="s">
        <v>2275</v>
      </c>
    </row>
    <row r="16" spans="1:8" x14ac:dyDescent="0.35">
      <c r="A16">
        <v>1118026729</v>
      </c>
      <c r="B16" t="s">
        <v>18</v>
      </c>
      <c r="C16" t="s">
        <v>2379</v>
      </c>
      <c r="D16" t="s">
        <v>2381</v>
      </c>
      <c r="E16" s="161" t="s">
        <v>1917</v>
      </c>
      <c r="F16" t="s">
        <v>2274</v>
      </c>
      <c r="G16" s="66" t="s">
        <v>2275</v>
      </c>
    </row>
    <row r="17" spans="1:7" x14ac:dyDescent="0.35">
      <c r="A17">
        <v>1118026729</v>
      </c>
      <c r="B17" t="s">
        <v>18</v>
      </c>
      <c r="C17" t="s">
        <v>2382</v>
      </c>
      <c r="D17" t="s">
        <v>2383</v>
      </c>
      <c r="E17" s="162" t="s">
        <v>1433</v>
      </c>
      <c r="F17" t="s">
        <v>2274</v>
      </c>
      <c r="G17" s="66" t="s">
        <v>2275</v>
      </c>
    </row>
    <row r="18" spans="1:7" x14ac:dyDescent="0.35">
      <c r="A18">
        <v>1118026729</v>
      </c>
      <c r="B18" t="s">
        <v>18</v>
      </c>
      <c r="C18" t="s">
        <v>2382</v>
      </c>
      <c r="D18" t="s">
        <v>2384</v>
      </c>
      <c r="E18" s="161" t="s">
        <v>1917</v>
      </c>
      <c r="F18" t="s">
        <v>2274</v>
      </c>
      <c r="G18" s="66" t="s">
        <v>2275</v>
      </c>
    </row>
    <row r="19" spans="1:7" x14ac:dyDescent="0.35">
      <c r="A19">
        <v>1118026729</v>
      </c>
      <c r="B19" t="s">
        <v>18</v>
      </c>
      <c r="C19" t="s">
        <v>2385</v>
      </c>
      <c r="D19" t="s">
        <v>2386</v>
      </c>
      <c r="E19" s="165" t="s">
        <v>2387</v>
      </c>
      <c r="F19" t="s">
        <v>2274</v>
      </c>
      <c r="G19" s="66" t="s">
        <v>2275</v>
      </c>
    </row>
    <row r="20" spans="1:7" x14ac:dyDescent="0.35">
      <c r="A20">
        <v>1118026729</v>
      </c>
      <c r="B20" t="s">
        <v>18</v>
      </c>
      <c r="C20" t="s">
        <v>2385</v>
      </c>
      <c r="D20" t="s">
        <v>2388</v>
      </c>
      <c r="E20" s="162" t="s">
        <v>1433</v>
      </c>
      <c r="F20" t="s">
        <v>2274</v>
      </c>
      <c r="G20" s="66" t="s">
        <v>2275</v>
      </c>
    </row>
    <row r="21" spans="1:7" x14ac:dyDescent="0.35">
      <c r="A21">
        <v>1118027261</v>
      </c>
      <c r="B21" t="s">
        <v>29</v>
      </c>
      <c r="C21" t="s">
        <v>2389</v>
      </c>
      <c r="D21" t="s">
        <v>2390</v>
      </c>
      <c r="E21" s="161" t="s">
        <v>1917</v>
      </c>
      <c r="F21" t="s">
        <v>2274</v>
      </c>
      <c r="G21" s="66" t="s">
        <v>2275</v>
      </c>
    </row>
    <row r="22" spans="1:7" x14ac:dyDescent="0.35">
      <c r="A22">
        <v>1118027261</v>
      </c>
      <c r="B22" t="s">
        <v>29</v>
      </c>
      <c r="C22" t="s">
        <v>2389</v>
      </c>
      <c r="D22" t="s">
        <v>2391</v>
      </c>
      <c r="E22" s="161" t="s">
        <v>1917</v>
      </c>
      <c r="F22" t="s">
        <v>2274</v>
      </c>
      <c r="G22" s="66" t="s">
        <v>2275</v>
      </c>
    </row>
    <row r="23" spans="1:7" x14ac:dyDescent="0.35">
      <c r="A23">
        <v>1118027261</v>
      </c>
      <c r="B23" t="s">
        <v>29</v>
      </c>
      <c r="C23" t="s">
        <v>2389</v>
      </c>
      <c r="D23" t="s">
        <v>2392</v>
      </c>
      <c r="E23" s="162" t="s">
        <v>1433</v>
      </c>
      <c r="F23" t="s">
        <v>2274</v>
      </c>
      <c r="G23" s="66" t="s">
        <v>2275</v>
      </c>
    </row>
    <row r="24" spans="1:7" x14ac:dyDescent="0.35">
      <c r="A24">
        <v>1118027261</v>
      </c>
      <c r="B24" t="s">
        <v>29</v>
      </c>
      <c r="C24" t="s">
        <v>2393</v>
      </c>
      <c r="D24" t="s">
        <v>2394</v>
      </c>
      <c r="E24" s="161" t="s">
        <v>1917</v>
      </c>
      <c r="F24" t="s">
        <v>2274</v>
      </c>
      <c r="G24" s="66" t="s">
        <v>2275</v>
      </c>
    </row>
    <row r="25" spans="1:7" x14ac:dyDescent="0.35">
      <c r="A25">
        <v>1118027261</v>
      </c>
      <c r="B25" t="s">
        <v>29</v>
      </c>
      <c r="C25" t="s">
        <v>2393</v>
      </c>
      <c r="D25" t="s">
        <v>1537</v>
      </c>
      <c r="E25" s="123" t="s">
        <v>1493</v>
      </c>
      <c r="F25" t="s">
        <v>2274</v>
      </c>
      <c r="G25" s="66" t="s">
        <v>2275</v>
      </c>
    </row>
    <row r="26" spans="1:7" x14ac:dyDescent="0.35">
      <c r="A26">
        <v>1118027261</v>
      </c>
      <c r="B26" t="s">
        <v>29</v>
      </c>
      <c r="C26" t="s">
        <v>2393</v>
      </c>
      <c r="D26" t="s">
        <v>2395</v>
      </c>
      <c r="E26" s="65" t="s">
        <v>2278</v>
      </c>
      <c r="F26" t="s">
        <v>2274</v>
      </c>
      <c r="G26" s="66" t="s">
        <v>2275</v>
      </c>
    </row>
    <row r="27" spans="1:7" x14ac:dyDescent="0.35">
      <c r="A27">
        <v>1118027261</v>
      </c>
      <c r="B27" t="s">
        <v>29</v>
      </c>
      <c r="C27" t="s">
        <v>2396</v>
      </c>
      <c r="D27" t="s">
        <v>2397</v>
      </c>
      <c r="E27" s="161" t="s">
        <v>1917</v>
      </c>
      <c r="F27" t="s">
        <v>2274</v>
      </c>
      <c r="G27" s="66" t="s">
        <v>2275</v>
      </c>
    </row>
    <row r="28" spans="1:7" x14ac:dyDescent="0.35">
      <c r="A28">
        <v>1118027261</v>
      </c>
      <c r="B28" t="s">
        <v>29</v>
      </c>
      <c r="C28" t="s">
        <v>2396</v>
      </c>
      <c r="D28" t="s">
        <v>2381</v>
      </c>
      <c r="E28" s="161" t="s">
        <v>1917</v>
      </c>
      <c r="F28" t="s">
        <v>2274</v>
      </c>
      <c r="G28" s="66" t="s">
        <v>2275</v>
      </c>
    </row>
    <row r="29" spans="1:7" x14ac:dyDescent="0.35">
      <c r="A29">
        <v>1118027261</v>
      </c>
      <c r="B29" t="s">
        <v>29</v>
      </c>
      <c r="C29" t="s">
        <v>2396</v>
      </c>
      <c r="D29" t="s">
        <v>2398</v>
      </c>
      <c r="E29" s="123" t="s">
        <v>1493</v>
      </c>
      <c r="F29" t="s">
        <v>2274</v>
      </c>
      <c r="G29" s="66" t="s">
        <v>2275</v>
      </c>
    </row>
    <row r="30" spans="1:7" x14ac:dyDescent="0.35">
      <c r="A30">
        <v>1118027261</v>
      </c>
      <c r="B30" t="s">
        <v>29</v>
      </c>
      <c r="C30" t="s">
        <v>2399</v>
      </c>
      <c r="D30" t="s">
        <v>2400</v>
      </c>
      <c r="E30" s="162" t="s">
        <v>1433</v>
      </c>
      <c r="F30" t="s">
        <v>2274</v>
      </c>
      <c r="G30" s="66" t="s">
        <v>2275</v>
      </c>
    </row>
    <row r="31" spans="1:7" x14ac:dyDescent="0.35">
      <c r="A31">
        <v>1118027261</v>
      </c>
      <c r="B31" t="s">
        <v>29</v>
      </c>
      <c r="C31" t="s">
        <v>2399</v>
      </c>
      <c r="D31" t="s">
        <v>2401</v>
      </c>
      <c r="E31" s="162" t="s">
        <v>1433</v>
      </c>
      <c r="F31" t="s">
        <v>2274</v>
      </c>
      <c r="G31" s="66" t="s">
        <v>2275</v>
      </c>
    </row>
    <row r="32" spans="1:7" x14ac:dyDescent="0.35">
      <c r="A32">
        <v>1118027261</v>
      </c>
      <c r="B32" t="s">
        <v>29</v>
      </c>
      <c r="C32" t="s">
        <v>2399</v>
      </c>
      <c r="D32" t="s">
        <v>2402</v>
      </c>
      <c r="E32" s="162" t="s">
        <v>1433</v>
      </c>
      <c r="F32" t="s">
        <v>2274</v>
      </c>
      <c r="G32" s="66" t="s">
        <v>2275</v>
      </c>
    </row>
    <row r="33" spans="1:7" x14ac:dyDescent="0.35">
      <c r="A33">
        <v>1118027261</v>
      </c>
      <c r="B33" t="s">
        <v>29</v>
      </c>
      <c r="C33" t="s">
        <v>2403</v>
      </c>
      <c r="D33" t="s">
        <v>2404</v>
      </c>
      <c r="E33" s="161" t="s">
        <v>1917</v>
      </c>
      <c r="F33" t="s">
        <v>2274</v>
      </c>
      <c r="G33" s="66" t="s">
        <v>2275</v>
      </c>
    </row>
    <row r="34" spans="1:7" x14ac:dyDescent="0.35">
      <c r="A34">
        <v>1118027261</v>
      </c>
      <c r="B34" t="s">
        <v>29</v>
      </c>
      <c r="C34" t="s">
        <v>2403</v>
      </c>
      <c r="D34" t="s">
        <v>2405</v>
      </c>
      <c r="E34" s="162" t="s">
        <v>1433</v>
      </c>
      <c r="F34" t="s">
        <v>2274</v>
      </c>
      <c r="G34" s="66" t="s">
        <v>2275</v>
      </c>
    </row>
    <row r="35" spans="1:7" x14ac:dyDescent="0.35">
      <c r="A35">
        <v>1118027261</v>
      </c>
      <c r="B35" t="s">
        <v>29</v>
      </c>
      <c r="C35" t="s">
        <v>2403</v>
      </c>
      <c r="D35" t="s">
        <v>2406</v>
      </c>
      <c r="E35" s="123" t="s">
        <v>1493</v>
      </c>
      <c r="F35" t="s">
        <v>2274</v>
      </c>
      <c r="G35" s="66" t="s">
        <v>2275</v>
      </c>
    </row>
    <row r="36" spans="1:7" x14ac:dyDescent="0.35">
      <c r="A36">
        <v>1118027276</v>
      </c>
      <c r="B36" t="s">
        <v>375</v>
      </c>
      <c r="C36" t="s">
        <v>2407</v>
      </c>
      <c r="D36" t="s">
        <v>2408</v>
      </c>
      <c r="E36" s="162" t="s">
        <v>1433</v>
      </c>
      <c r="F36" t="s">
        <v>2274</v>
      </c>
      <c r="G36" s="66" t="s">
        <v>2275</v>
      </c>
    </row>
    <row r="37" spans="1:7" x14ac:dyDescent="0.35">
      <c r="A37">
        <v>1118027276</v>
      </c>
      <c r="B37" t="s">
        <v>375</v>
      </c>
      <c r="C37" t="s">
        <v>2407</v>
      </c>
      <c r="D37" t="s">
        <v>2409</v>
      </c>
      <c r="E37" s="162" t="s">
        <v>1433</v>
      </c>
      <c r="F37" t="s">
        <v>2274</v>
      </c>
      <c r="G37" s="66" t="s">
        <v>2275</v>
      </c>
    </row>
    <row r="38" spans="1:7" x14ac:dyDescent="0.35">
      <c r="A38">
        <v>1118027276</v>
      </c>
      <c r="B38" t="s">
        <v>375</v>
      </c>
      <c r="C38" t="s">
        <v>2407</v>
      </c>
      <c r="D38" t="s">
        <v>2410</v>
      </c>
      <c r="E38" s="162" t="s">
        <v>1433</v>
      </c>
      <c r="F38" t="s">
        <v>2274</v>
      </c>
      <c r="G38" s="66" t="s">
        <v>2275</v>
      </c>
    </row>
    <row r="39" spans="1:7" x14ac:dyDescent="0.35">
      <c r="A39">
        <v>1118027276</v>
      </c>
      <c r="B39" t="s">
        <v>375</v>
      </c>
      <c r="C39" t="s">
        <v>2411</v>
      </c>
      <c r="D39" t="s">
        <v>2412</v>
      </c>
      <c r="E39" s="162" t="s">
        <v>1433</v>
      </c>
      <c r="F39" t="s">
        <v>2274</v>
      </c>
      <c r="G39" s="66" t="s">
        <v>2275</v>
      </c>
    </row>
    <row r="40" spans="1:7" x14ac:dyDescent="0.35">
      <c r="A40">
        <v>1118027276</v>
      </c>
      <c r="B40" t="s">
        <v>375</v>
      </c>
      <c r="C40" t="s">
        <v>2411</v>
      </c>
      <c r="D40" t="s">
        <v>2413</v>
      </c>
      <c r="E40" s="162" t="s">
        <v>1433</v>
      </c>
      <c r="F40" t="s">
        <v>2274</v>
      </c>
      <c r="G40" s="66" t="s">
        <v>2275</v>
      </c>
    </row>
    <row r="41" spans="1:7" x14ac:dyDescent="0.35">
      <c r="A41">
        <v>1118027276</v>
      </c>
      <c r="B41" t="s">
        <v>375</v>
      </c>
      <c r="C41" t="s">
        <v>2411</v>
      </c>
      <c r="D41" t="s">
        <v>2414</v>
      </c>
      <c r="E41" s="162" t="s">
        <v>1433</v>
      </c>
      <c r="F41" t="s">
        <v>2274</v>
      </c>
      <c r="G41" s="66" t="s">
        <v>2275</v>
      </c>
    </row>
    <row r="42" spans="1:7" x14ac:dyDescent="0.35">
      <c r="A42">
        <v>1118027276</v>
      </c>
      <c r="B42" t="s">
        <v>375</v>
      </c>
      <c r="C42" t="s">
        <v>2415</v>
      </c>
      <c r="D42" t="s">
        <v>1623</v>
      </c>
      <c r="E42" s="65" t="s">
        <v>2278</v>
      </c>
      <c r="F42" t="s">
        <v>2299</v>
      </c>
      <c r="G42" s="164" t="s">
        <v>2300</v>
      </c>
    </row>
    <row r="43" spans="1:7" x14ac:dyDescent="0.35">
      <c r="A43">
        <v>1118027276</v>
      </c>
      <c r="B43" t="s">
        <v>375</v>
      </c>
      <c r="C43" t="s">
        <v>2415</v>
      </c>
      <c r="D43" t="s">
        <v>2416</v>
      </c>
      <c r="E43" s="162" t="s">
        <v>1433</v>
      </c>
      <c r="F43" t="s">
        <v>2274</v>
      </c>
      <c r="G43" s="66" t="s">
        <v>2275</v>
      </c>
    </row>
    <row r="44" spans="1:7" x14ac:dyDescent="0.35">
      <c r="A44">
        <v>1118027276</v>
      </c>
      <c r="B44" t="s">
        <v>375</v>
      </c>
      <c r="C44" t="s">
        <v>2415</v>
      </c>
      <c r="D44" t="s">
        <v>2417</v>
      </c>
      <c r="E44" s="162" t="s">
        <v>1433</v>
      </c>
      <c r="F44" t="s">
        <v>2274</v>
      </c>
      <c r="G44" s="66" t="s">
        <v>2275</v>
      </c>
    </row>
    <row r="45" spans="1:7" x14ac:dyDescent="0.35">
      <c r="A45">
        <v>1118027276</v>
      </c>
      <c r="B45" t="s">
        <v>375</v>
      </c>
      <c r="C45" t="s">
        <v>2418</v>
      </c>
      <c r="D45" t="s">
        <v>2419</v>
      </c>
      <c r="E45" s="162" t="s">
        <v>1433</v>
      </c>
      <c r="F45" t="s">
        <v>2274</v>
      </c>
      <c r="G45" s="66" t="s">
        <v>2275</v>
      </c>
    </row>
    <row r="46" spans="1:7" x14ac:dyDescent="0.35">
      <c r="A46">
        <v>1118027276</v>
      </c>
      <c r="B46" t="s">
        <v>375</v>
      </c>
      <c r="C46" t="s">
        <v>2418</v>
      </c>
      <c r="D46" t="s">
        <v>1717</v>
      </c>
      <c r="E46" s="65" t="s">
        <v>2278</v>
      </c>
      <c r="F46" t="s">
        <v>2274</v>
      </c>
      <c r="G46" s="66" t="s">
        <v>2275</v>
      </c>
    </row>
    <row r="47" spans="1:7" x14ac:dyDescent="0.35">
      <c r="A47">
        <v>1118027276</v>
      </c>
      <c r="B47" t="s">
        <v>375</v>
      </c>
      <c r="C47" t="s">
        <v>2418</v>
      </c>
      <c r="D47" t="s">
        <v>2420</v>
      </c>
      <c r="E47" s="162" t="s">
        <v>1433</v>
      </c>
      <c r="F47" t="s">
        <v>2274</v>
      </c>
      <c r="G47" s="66" t="s">
        <v>2275</v>
      </c>
    </row>
    <row r="48" spans="1:7" x14ac:dyDescent="0.35">
      <c r="A48">
        <v>1118027276</v>
      </c>
      <c r="B48" t="s">
        <v>375</v>
      </c>
      <c r="C48" t="s">
        <v>2421</v>
      </c>
      <c r="D48" t="s">
        <v>2422</v>
      </c>
      <c r="E48" s="123" t="s">
        <v>1493</v>
      </c>
      <c r="F48" t="s">
        <v>2274</v>
      </c>
      <c r="G48" s="66" t="s">
        <v>2275</v>
      </c>
    </row>
    <row r="49" spans="1:7" x14ac:dyDescent="0.35">
      <c r="A49">
        <v>1118027276</v>
      </c>
      <c r="B49" t="s">
        <v>375</v>
      </c>
      <c r="C49" t="s">
        <v>2421</v>
      </c>
      <c r="D49" t="s">
        <v>2423</v>
      </c>
      <c r="E49" s="162" t="s">
        <v>1433</v>
      </c>
      <c r="F49" t="s">
        <v>2274</v>
      </c>
      <c r="G49" s="66" t="s">
        <v>2275</v>
      </c>
    </row>
    <row r="50" spans="1:7" x14ac:dyDescent="0.35">
      <c r="A50">
        <v>1118027276</v>
      </c>
      <c r="B50" t="s">
        <v>375</v>
      </c>
      <c r="C50" t="s">
        <v>2424</v>
      </c>
      <c r="D50" t="s">
        <v>2425</v>
      </c>
      <c r="E50" s="161" t="s">
        <v>1917</v>
      </c>
      <c r="F50" t="s">
        <v>2274</v>
      </c>
      <c r="G50" s="66" t="s">
        <v>2275</v>
      </c>
    </row>
    <row r="51" spans="1:7" x14ac:dyDescent="0.35">
      <c r="A51">
        <v>1118027276</v>
      </c>
      <c r="B51" t="s">
        <v>375</v>
      </c>
      <c r="C51" t="s">
        <v>2424</v>
      </c>
      <c r="D51" t="s">
        <v>2426</v>
      </c>
      <c r="E51" s="162" t="s">
        <v>1433</v>
      </c>
      <c r="F51" t="s">
        <v>2274</v>
      </c>
      <c r="G51" s="66" t="s">
        <v>2275</v>
      </c>
    </row>
    <row r="52" spans="1:7" x14ac:dyDescent="0.35">
      <c r="A52">
        <v>1118027276</v>
      </c>
      <c r="B52" t="s">
        <v>375</v>
      </c>
      <c r="C52" t="s">
        <v>2424</v>
      </c>
      <c r="D52" t="s">
        <v>1787</v>
      </c>
      <c r="E52" s="123" t="s">
        <v>1493</v>
      </c>
      <c r="F52" t="s">
        <v>2274</v>
      </c>
      <c r="G52" s="66" t="s">
        <v>2275</v>
      </c>
    </row>
    <row r="53" spans="1:7" x14ac:dyDescent="0.35">
      <c r="A53">
        <v>1118027276</v>
      </c>
      <c r="B53" t="s">
        <v>375</v>
      </c>
      <c r="C53" t="s">
        <v>2427</v>
      </c>
      <c r="D53" t="s">
        <v>2428</v>
      </c>
      <c r="E53" s="162" t="s">
        <v>1433</v>
      </c>
      <c r="F53" t="s">
        <v>2274</v>
      </c>
      <c r="G53" s="66" t="s">
        <v>2275</v>
      </c>
    </row>
    <row r="54" spans="1:7" x14ac:dyDescent="0.35">
      <c r="A54">
        <v>1118027276</v>
      </c>
      <c r="B54" t="s">
        <v>375</v>
      </c>
      <c r="C54" t="s">
        <v>2427</v>
      </c>
      <c r="D54" t="s">
        <v>2429</v>
      </c>
      <c r="E54" s="162" t="s">
        <v>1433</v>
      </c>
      <c r="F54" t="s">
        <v>2274</v>
      </c>
      <c r="G54" s="66" t="s">
        <v>2275</v>
      </c>
    </row>
    <row r="55" spans="1:7" x14ac:dyDescent="0.35">
      <c r="A55">
        <v>1118027276</v>
      </c>
      <c r="B55" t="s">
        <v>375</v>
      </c>
      <c r="C55" t="s">
        <v>2427</v>
      </c>
      <c r="D55" t="s">
        <v>2430</v>
      </c>
      <c r="E55" s="162" t="s">
        <v>1433</v>
      </c>
      <c r="F55" t="s">
        <v>2274</v>
      </c>
      <c r="G55" s="66" t="s">
        <v>2275</v>
      </c>
    </row>
    <row r="56" spans="1:7" x14ac:dyDescent="0.35">
      <c r="A56">
        <v>1118027662</v>
      </c>
      <c r="B56" t="s">
        <v>1279</v>
      </c>
      <c r="C56" t="s">
        <v>2431</v>
      </c>
      <c r="D56" t="s">
        <v>2432</v>
      </c>
      <c r="E56" s="162" t="s">
        <v>1433</v>
      </c>
      <c r="F56" t="s">
        <v>2274</v>
      </c>
      <c r="G56" s="66" t="s">
        <v>2275</v>
      </c>
    </row>
    <row r="57" spans="1:7" x14ac:dyDescent="0.35">
      <c r="A57">
        <v>1118027662</v>
      </c>
      <c r="B57" t="s">
        <v>1279</v>
      </c>
      <c r="C57" t="s">
        <v>2431</v>
      </c>
      <c r="D57" t="s">
        <v>2433</v>
      </c>
      <c r="E57" s="162" t="s">
        <v>1433</v>
      </c>
      <c r="F57" t="s">
        <v>2274</v>
      </c>
      <c r="G57" s="66" t="s">
        <v>2275</v>
      </c>
    </row>
    <row r="58" spans="1:7" x14ac:dyDescent="0.35">
      <c r="A58">
        <v>1118027662</v>
      </c>
      <c r="B58" t="s">
        <v>1279</v>
      </c>
      <c r="C58" t="s">
        <v>2431</v>
      </c>
      <c r="D58" t="s">
        <v>2434</v>
      </c>
      <c r="E58" s="162" t="s">
        <v>1433</v>
      </c>
      <c r="F58" t="s">
        <v>2274</v>
      </c>
      <c r="G58" s="66" t="s">
        <v>2275</v>
      </c>
    </row>
    <row r="59" spans="1:7" x14ac:dyDescent="0.35">
      <c r="A59">
        <v>1118027662</v>
      </c>
      <c r="B59" t="s">
        <v>1279</v>
      </c>
      <c r="C59" t="s">
        <v>2431</v>
      </c>
      <c r="D59" t="s">
        <v>2435</v>
      </c>
      <c r="E59" s="162" t="s">
        <v>1433</v>
      </c>
      <c r="F59" t="s">
        <v>2274</v>
      </c>
      <c r="G59" s="66" t="s">
        <v>2275</v>
      </c>
    </row>
    <row r="60" spans="1:7" x14ac:dyDescent="0.35">
      <c r="A60">
        <v>1118027662</v>
      </c>
      <c r="B60" t="s">
        <v>1279</v>
      </c>
      <c r="C60" t="s">
        <v>2436</v>
      </c>
      <c r="D60" t="s">
        <v>2437</v>
      </c>
      <c r="E60" s="162" t="s">
        <v>1433</v>
      </c>
      <c r="F60" t="s">
        <v>2274</v>
      </c>
      <c r="G60" s="66" t="s">
        <v>2275</v>
      </c>
    </row>
    <row r="61" spans="1:7" x14ac:dyDescent="0.35">
      <c r="A61">
        <v>1118027662</v>
      </c>
      <c r="B61" t="s">
        <v>1279</v>
      </c>
      <c r="C61" t="s">
        <v>2436</v>
      </c>
      <c r="D61" t="s">
        <v>2438</v>
      </c>
      <c r="E61" s="162" t="s">
        <v>1433</v>
      </c>
      <c r="F61" t="s">
        <v>2274</v>
      </c>
      <c r="G61" s="66" t="s">
        <v>2275</v>
      </c>
    </row>
    <row r="62" spans="1:7" x14ac:dyDescent="0.35">
      <c r="A62">
        <v>1118027662</v>
      </c>
      <c r="B62" t="s">
        <v>1279</v>
      </c>
      <c r="C62" t="s">
        <v>2436</v>
      </c>
      <c r="D62" t="s">
        <v>2439</v>
      </c>
      <c r="E62" s="162" t="s">
        <v>1433</v>
      </c>
      <c r="F62" t="s">
        <v>2274</v>
      </c>
      <c r="G62" s="66" t="s">
        <v>2275</v>
      </c>
    </row>
    <row r="63" spans="1:7" x14ac:dyDescent="0.35">
      <c r="A63">
        <v>1118027662</v>
      </c>
      <c r="B63" t="s">
        <v>1279</v>
      </c>
      <c r="C63" t="s">
        <v>2440</v>
      </c>
      <c r="D63" t="s">
        <v>2441</v>
      </c>
      <c r="E63" s="162" t="s">
        <v>1433</v>
      </c>
      <c r="F63" t="s">
        <v>2274</v>
      </c>
      <c r="G63" s="66" t="s">
        <v>2275</v>
      </c>
    </row>
    <row r="64" spans="1:7" x14ac:dyDescent="0.35">
      <c r="A64">
        <v>1118027662</v>
      </c>
      <c r="B64" t="s">
        <v>1279</v>
      </c>
      <c r="C64" t="s">
        <v>2440</v>
      </c>
      <c r="D64" t="s">
        <v>2442</v>
      </c>
      <c r="E64" s="162" t="s">
        <v>1433</v>
      </c>
      <c r="F64" t="s">
        <v>2274</v>
      </c>
      <c r="G64" s="66" t="s">
        <v>2275</v>
      </c>
    </row>
    <row r="65" spans="1:7" x14ac:dyDescent="0.35">
      <c r="A65">
        <v>1118027662</v>
      </c>
      <c r="B65" t="s">
        <v>1279</v>
      </c>
      <c r="C65" t="s">
        <v>2440</v>
      </c>
      <c r="D65" t="s">
        <v>2443</v>
      </c>
      <c r="E65" s="162" t="s">
        <v>1433</v>
      </c>
      <c r="F65" t="s">
        <v>2274</v>
      </c>
      <c r="G65" s="66" t="s">
        <v>2275</v>
      </c>
    </row>
    <row r="66" spans="1:7" x14ac:dyDescent="0.35">
      <c r="A66">
        <v>1118027834</v>
      </c>
      <c r="B66" t="s">
        <v>2444</v>
      </c>
      <c r="C66" t="s">
        <v>2445</v>
      </c>
      <c r="D66" t="s">
        <v>1530</v>
      </c>
      <c r="E66" s="166" t="s">
        <v>1922</v>
      </c>
      <c r="F66" t="s">
        <v>2274</v>
      </c>
      <c r="G66" s="66" t="s">
        <v>2275</v>
      </c>
    </row>
    <row r="67" spans="1:7" x14ac:dyDescent="0.35">
      <c r="A67">
        <v>1118027834</v>
      </c>
      <c r="B67" t="s">
        <v>2444</v>
      </c>
      <c r="C67" t="s">
        <v>2445</v>
      </c>
      <c r="D67" t="s">
        <v>2446</v>
      </c>
      <c r="E67" s="65" t="s">
        <v>2278</v>
      </c>
      <c r="F67" t="s">
        <v>2274</v>
      </c>
      <c r="G67" s="66" t="s">
        <v>2275</v>
      </c>
    </row>
    <row r="68" spans="1:7" x14ac:dyDescent="0.35">
      <c r="A68">
        <v>1118027834</v>
      </c>
      <c r="B68" t="s">
        <v>2444</v>
      </c>
      <c r="C68" t="s">
        <v>2445</v>
      </c>
      <c r="D68" t="s">
        <v>2447</v>
      </c>
      <c r="E68" s="166" t="s">
        <v>1922</v>
      </c>
      <c r="F68" t="s">
        <v>2274</v>
      </c>
      <c r="G68" s="66" t="s">
        <v>2275</v>
      </c>
    </row>
    <row r="69" spans="1:7" x14ac:dyDescent="0.35">
      <c r="A69">
        <v>1118027834</v>
      </c>
      <c r="B69" t="s">
        <v>2444</v>
      </c>
      <c r="C69" t="s">
        <v>2448</v>
      </c>
      <c r="D69" t="s">
        <v>2449</v>
      </c>
      <c r="E69" s="162" t="s">
        <v>1433</v>
      </c>
      <c r="F69" t="s">
        <v>2274</v>
      </c>
      <c r="G69" s="66" t="s">
        <v>2275</v>
      </c>
    </row>
    <row r="70" spans="1:7" x14ac:dyDescent="0.35">
      <c r="A70">
        <v>1118027834</v>
      </c>
      <c r="B70" t="s">
        <v>2444</v>
      </c>
      <c r="C70" t="s">
        <v>2448</v>
      </c>
      <c r="D70" t="s">
        <v>2450</v>
      </c>
      <c r="E70" s="162" t="s">
        <v>1433</v>
      </c>
      <c r="F70" t="s">
        <v>2274</v>
      </c>
      <c r="G70" s="66" t="s">
        <v>2275</v>
      </c>
    </row>
    <row r="71" spans="1:7" x14ac:dyDescent="0.35">
      <c r="A71">
        <v>1118027834</v>
      </c>
      <c r="B71" t="s">
        <v>2444</v>
      </c>
      <c r="C71" t="s">
        <v>2448</v>
      </c>
      <c r="D71" t="s">
        <v>1435</v>
      </c>
      <c r="E71" s="65" t="s">
        <v>2278</v>
      </c>
      <c r="F71" t="s">
        <v>2274</v>
      </c>
      <c r="G71" s="66" t="s">
        <v>2275</v>
      </c>
    </row>
    <row r="72" spans="1:7" x14ac:dyDescent="0.35">
      <c r="A72">
        <v>1118027834</v>
      </c>
      <c r="B72" t="s">
        <v>2444</v>
      </c>
      <c r="C72" t="s">
        <v>2451</v>
      </c>
      <c r="D72" t="s">
        <v>1623</v>
      </c>
      <c r="E72" s="65" t="s">
        <v>2278</v>
      </c>
      <c r="F72" t="s">
        <v>2299</v>
      </c>
      <c r="G72" s="164" t="s">
        <v>2300</v>
      </c>
    </row>
    <row r="73" spans="1:7" x14ac:dyDescent="0.35">
      <c r="A73">
        <v>1118027834</v>
      </c>
      <c r="B73" t="s">
        <v>2444</v>
      </c>
      <c r="C73" t="s">
        <v>2451</v>
      </c>
      <c r="D73" t="s">
        <v>2452</v>
      </c>
      <c r="E73" s="65" t="s">
        <v>2278</v>
      </c>
      <c r="F73" t="s">
        <v>2274</v>
      </c>
      <c r="G73" s="66" t="s">
        <v>2275</v>
      </c>
    </row>
    <row r="74" spans="1:7" x14ac:dyDescent="0.35">
      <c r="A74">
        <v>1118027834</v>
      </c>
      <c r="B74" t="s">
        <v>2444</v>
      </c>
      <c r="C74" t="s">
        <v>2451</v>
      </c>
      <c r="D74" t="s">
        <v>2453</v>
      </c>
      <c r="E74" s="65" t="s">
        <v>2278</v>
      </c>
      <c r="F74" t="s">
        <v>2274</v>
      </c>
      <c r="G74" s="66" t="s">
        <v>2275</v>
      </c>
    </row>
    <row r="75" spans="1:7" x14ac:dyDescent="0.35">
      <c r="A75">
        <v>1118027834</v>
      </c>
      <c r="B75" t="s">
        <v>2444</v>
      </c>
      <c r="C75" t="s">
        <v>2454</v>
      </c>
      <c r="D75" t="s">
        <v>2455</v>
      </c>
      <c r="E75" s="123" t="s">
        <v>1493</v>
      </c>
      <c r="F75" t="s">
        <v>2274</v>
      </c>
      <c r="G75" s="66" t="s">
        <v>2275</v>
      </c>
    </row>
    <row r="76" spans="1:7" x14ac:dyDescent="0.35">
      <c r="A76">
        <v>1118027834</v>
      </c>
      <c r="B76" t="s">
        <v>2444</v>
      </c>
      <c r="C76" t="s">
        <v>2454</v>
      </c>
      <c r="D76" t="s">
        <v>2456</v>
      </c>
      <c r="E76" s="123" t="s">
        <v>1493</v>
      </c>
      <c r="F76" t="s">
        <v>2274</v>
      </c>
      <c r="G76" s="66" t="s">
        <v>2275</v>
      </c>
    </row>
    <row r="77" spans="1:7" x14ac:dyDescent="0.35">
      <c r="A77">
        <v>1118027834</v>
      </c>
      <c r="B77" t="s">
        <v>2444</v>
      </c>
      <c r="C77" t="s">
        <v>2454</v>
      </c>
      <c r="D77" t="s">
        <v>2457</v>
      </c>
      <c r="E77" s="162" t="s">
        <v>1433</v>
      </c>
      <c r="F77" t="s">
        <v>2274</v>
      </c>
      <c r="G77" s="66" t="s">
        <v>2275</v>
      </c>
    </row>
    <row r="78" spans="1:7" x14ac:dyDescent="0.35">
      <c r="A78">
        <v>1118027941</v>
      </c>
      <c r="B78" t="s">
        <v>2317</v>
      </c>
      <c r="C78" t="s">
        <v>2458</v>
      </c>
      <c r="D78" t="s">
        <v>1449</v>
      </c>
      <c r="E78" s="65" t="s">
        <v>2278</v>
      </c>
      <c r="F78" t="s">
        <v>2299</v>
      </c>
      <c r="G78" s="164" t="s">
        <v>2300</v>
      </c>
    </row>
    <row r="79" spans="1:7" x14ac:dyDescent="0.35">
      <c r="A79">
        <v>1118027941</v>
      </c>
      <c r="B79" t="s">
        <v>2317</v>
      </c>
      <c r="C79" t="s">
        <v>2458</v>
      </c>
      <c r="D79" t="s">
        <v>2459</v>
      </c>
      <c r="E79" s="162" t="s">
        <v>1433</v>
      </c>
      <c r="F79" t="s">
        <v>2274</v>
      </c>
      <c r="G79" s="66" t="s">
        <v>2275</v>
      </c>
    </row>
    <row r="80" spans="1:7" x14ac:dyDescent="0.35">
      <c r="A80">
        <v>1118027941</v>
      </c>
      <c r="B80" t="s">
        <v>2317</v>
      </c>
      <c r="C80" t="s">
        <v>2458</v>
      </c>
      <c r="D80" t="s">
        <v>2460</v>
      </c>
      <c r="E80" s="162" t="s">
        <v>1433</v>
      </c>
      <c r="F80" t="s">
        <v>2274</v>
      </c>
      <c r="G80" s="66" t="s">
        <v>2275</v>
      </c>
    </row>
    <row r="81" spans="1:7" x14ac:dyDescent="0.35">
      <c r="A81">
        <v>1118027941</v>
      </c>
      <c r="B81" t="s">
        <v>2317</v>
      </c>
      <c r="C81" t="s">
        <v>2458</v>
      </c>
      <c r="D81" t="s">
        <v>2461</v>
      </c>
      <c r="E81" s="162" t="s">
        <v>1433</v>
      </c>
      <c r="F81" t="s">
        <v>2274</v>
      </c>
      <c r="G81" s="66" t="s">
        <v>2275</v>
      </c>
    </row>
    <row r="82" spans="1:7" x14ac:dyDescent="0.35">
      <c r="A82">
        <v>1118027941</v>
      </c>
      <c r="B82" t="s">
        <v>2317</v>
      </c>
      <c r="C82" t="s">
        <v>2462</v>
      </c>
      <c r="D82" t="s">
        <v>2463</v>
      </c>
      <c r="E82" s="162" t="s">
        <v>1433</v>
      </c>
      <c r="F82" t="s">
        <v>2274</v>
      </c>
      <c r="G82" s="66" t="s">
        <v>2275</v>
      </c>
    </row>
    <row r="83" spans="1:7" x14ac:dyDescent="0.35">
      <c r="A83">
        <v>1118027941</v>
      </c>
      <c r="B83" t="s">
        <v>2317</v>
      </c>
      <c r="C83" t="s">
        <v>2462</v>
      </c>
      <c r="D83" t="s">
        <v>2464</v>
      </c>
      <c r="E83" s="162" t="s">
        <v>1433</v>
      </c>
      <c r="F83" t="s">
        <v>2274</v>
      </c>
      <c r="G83" s="66" t="s">
        <v>2275</v>
      </c>
    </row>
    <row r="84" spans="1:7" x14ac:dyDescent="0.35">
      <c r="A84">
        <v>1118027941</v>
      </c>
      <c r="B84" t="s">
        <v>2317</v>
      </c>
      <c r="C84" t="s">
        <v>2462</v>
      </c>
      <c r="D84" t="s">
        <v>2465</v>
      </c>
      <c r="E84" s="162" t="s">
        <v>1433</v>
      </c>
      <c r="F84" t="s">
        <v>2274</v>
      </c>
      <c r="G84" s="66" t="s">
        <v>2275</v>
      </c>
    </row>
    <row r="85" spans="1:7" x14ac:dyDescent="0.35">
      <c r="A85">
        <v>1118028027</v>
      </c>
      <c r="B85" t="s">
        <v>2466</v>
      </c>
      <c r="C85" t="s">
        <v>2467</v>
      </c>
      <c r="D85" t="s">
        <v>2468</v>
      </c>
      <c r="E85" s="162" t="s">
        <v>1433</v>
      </c>
      <c r="F85" t="s">
        <v>2274</v>
      </c>
      <c r="G85" s="66" t="s">
        <v>2275</v>
      </c>
    </row>
    <row r="86" spans="1:7" x14ac:dyDescent="0.35">
      <c r="A86">
        <v>1118028027</v>
      </c>
      <c r="B86" t="s">
        <v>2466</v>
      </c>
      <c r="C86" t="s">
        <v>2467</v>
      </c>
      <c r="D86" t="s">
        <v>2469</v>
      </c>
      <c r="E86" s="162" t="s">
        <v>1433</v>
      </c>
      <c r="F86" t="s">
        <v>2274</v>
      </c>
      <c r="G86" s="66" t="s">
        <v>2275</v>
      </c>
    </row>
    <row r="87" spans="1:7" x14ac:dyDescent="0.35">
      <c r="A87">
        <v>1118028027</v>
      </c>
      <c r="B87" t="s">
        <v>2466</v>
      </c>
      <c r="C87" t="s">
        <v>2467</v>
      </c>
      <c r="D87" t="s">
        <v>2470</v>
      </c>
      <c r="E87" s="162" t="s">
        <v>1433</v>
      </c>
      <c r="F87" t="s">
        <v>2274</v>
      </c>
      <c r="G87" s="66" t="s">
        <v>2275</v>
      </c>
    </row>
    <row r="88" spans="1:7" x14ac:dyDescent="0.35">
      <c r="A88">
        <v>1118028027</v>
      </c>
      <c r="B88" t="s">
        <v>2466</v>
      </c>
      <c r="C88" t="s">
        <v>2471</v>
      </c>
      <c r="D88" t="s">
        <v>2472</v>
      </c>
      <c r="E88" s="162" t="s">
        <v>1433</v>
      </c>
      <c r="F88" t="s">
        <v>2274</v>
      </c>
      <c r="G88" s="66" t="s">
        <v>2275</v>
      </c>
    </row>
    <row r="89" spans="1:7" x14ac:dyDescent="0.35">
      <c r="A89">
        <v>1118028027</v>
      </c>
      <c r="B89" t="s">
        <v>2466</v>
      </c>
      <c r="C89" t="s">
        <v>2471</v>
      </c>
      <c r="D89" t="s">
        <v>2473</v>
      </c>
      <c r="E89" s="162" t="s">
        <v>1433</v>
      </c>
      <c r="F89" t="s">
        <v>2274</v>
      </c>
      <c r="G89" s="66" t="s">
        <v>2275</v>
      </c>
    </row>
    <row r="90" spans="1:7" x14ac:dyDescent="0.35">
      <c r="A90">
        <v>1118028027</v>
      </c>
      <c r="B90" t="s">
        <v>2466</v>
      </c>
      <c r="C90" t="s">
        <v>2471</v>
      </c>
      <c r="D90" t="s">
        <v>2474</v>
      </c>
      <c r="E90" s="162" t="s">
        <v>1433</v>
      </c>
      <c r="F90" t="s">
        <v>2274</v>
      </c>
      <c r="G90" s="66" t="s">
        <v>2275</v>
      </c>
    </row>
    <row r="91" spans="1:7" x14ac:dyDescent="0.35">
      <c r="A91">
        <v>1118028038</v>
      </c>
      <c r="B91" t="s">
        <v>2475</v>
      </c>
      <c r="C91" t="s">
        <v>2476</v>
      </c>
      <c r="D91" t="s">
        <v>2477</v>
      </c>
      <c r="E91" s="162" t="s">
        <v>1433</v>
      </c>
      <c r="F91" t="s">
        <v>2274</v>
      </c>
      <c r="G91" s="66" t="s">
        <v>2275</v>
      </c>
    </row>
    <row r="92" spans="1:7" x14ac:dyDescent="0.35">
      <c r="A92">
        <v>1118028038</v>
      </c>
      <c r="B92" t="s">
        <v>2475</v>
      </c>
      <c r="C92" t="s">
        <v>2476</v>
      </c>
      <c r="D92" t="s">
        <v>2478</v>
      </c>
      <c r="E92" s="162" t="s">
        <v>1433</v>
      </c>
      <c r="F92" t="s">
        <v>2274</v>
      </c>
      <c r="G92" s="66" t="s">
        <v>2275</v>
      </c>
    </row>
    <row r="93" spans="1:7" x14ac:dyDescent="0.35">
      <c r="A93">
        <v>1118028038</v>
      </c>
      <c r="B93" t="s">
        <v>2475</v>
      </c>
      <c r="C93" t="s">
        <v>2476</v>
      </c>
      <c r="D93" t="s">
        <v>2479</v>
      </c>
      <c r="E93" s="161" t="s">
        <v>1917</v>
      </c>
      <c r="F93" t="s">
        <v>2274</v>
      </c>
      <c r="G93" s="66" t="s">
        <v>2275</v>
      </c>
    </row>
    <row r="94" spans="1:7" x14ac:dyDescent="0.35">
      <c r="A94">
        <v>1118028038</v>
      </c>
      <c r="B94" t="s">
        <v>2475</v>
      </c>
      <c r="C94" t="s">
        <v>2480</v>
      </c>
      <c r="D94" t="s">
        <v>2419</v>
      </c>
      <c r="E94" s="162" t="s">
        <v>1433</v>
      </c>
      <c r="F94" t="s">
        <v>2274</v>
      </c>
      <c r="G94" s="66" t="s">
        <v>2275</v>
      </c>
    </row>
    <row r="95" spans="1:7" x14ac:dyDescent="0.35">
      <c r="A95">
        <v>1118028038</v>
      </c>
      <c r="B95" t="s">
        <v>2475</v>
      </c>
      <c r="C95" t="s">
        <v>2480</v>
      </c>
      <c r="D95" t="s">
        <v>2481</v>
      </c>
      <c r="E95" s="162" t="s">
        <v>1433</v>
      </c>
      <c r="F95" t="s">
        <v>2274</v>
      </c>
      <c r="G95" s="66" t="s">
        <v>2275</v>
      </c>
    </row>
    <row r="96" spans="1:7" x14ac:dyDescent="0.35">
      <c r="A96">
        <v>1118028038</v>
      </c>
      <c r="B96" t="s">
        <v>2475</v>
      </c>
      <c r="C96" t="s">
        <v>2480</v>
      </c>
      <c r="D96" t="s">
        <v>1443</v>
      </c>
      <c r="E96" s="65" t="s">
        <v>2278</v>
      </c>
      <c r="F96" t="s">
        <v>2299</v>
      </c>
      <c r="G96" s="164" t="s">
        <v>2300</v>
      </c>
    </row>
    <row r="97" spans="1:7" x14ac:dyDescent="0.35">
      <c r="A97">
        <v>1118028038</v>
      </c>
      <c r="B97" t="s">
        <v>2475</v>
      </c>
      <c r="C97" t="s">
        <v>2480</v>
      </c>
      <c r="D97" t="s">
        <v>2420</v>
      </c>
      <c r="E97" s="162" t="s">
        <v>1433</v>
      </c>
      <c r="F97" t="s">
        <v>2274</v>
      </c>
      <c r="G97" s="66" t="s">
        <v>2275</v>
      </c>
    </row>
    <row r="98" spans="1:7" x14ac:dyDescent="0.35">
      <c r="A98">
        <v>1118028038</v>
      </c>
      <c r="B98" t="s">
        <v>2475</v>
      </c>
      <c r="C98" t="s">
        <v>2482</v>
      </c>
      <c r="D98" t="s">
        <v>2388</v>
      </c>
      <c r="E98" s="162" t="s">
        <v>1433</v>
      </c>
      <c r="F98" t="s">
        <v>2274</v>
      </c>
      <c r="G98" s="66" t="s">
        <v>2275</v>
      </c>
    </row>
    <row r="99" spans="1:7" x14ac:dyDescent="0.35">
      <c r="A99">
        <v>1118028038</v>
      </c>
      <c r="B99" t="s">
        <v>2475</v>
      </c>
      <c r="C99" t="s">
        <v>2482</v>
      </c>
      <c r="D99" t="s">
        <v>1717</v>
      </c>
      <c r="E99" s="65" t="s">
        <v>2278</v>
      </c>
      <c r="F99" t="s">
        <v>2274</v>
      </c>
      <c r="G99" s="66" t="s">
        <v>2275</v>
      </c>
    </row>
    <row r="100" spans="1:7" x14ac:dyDescent="0.35">
      <c r="A100">
        <v>1118028038</v>
      </c>
      <c r="B100" t="s">
        <v>2475</v>
      </c>
      <c r="C100" t="s">
        <v>2482</v>
      </c>
      <c r="D100" t="s">
        <v>2483</v>
      </c>
      <c r="E100" s="162" t="s">
        <v>1433</v>
      </c>
      <c r="F100" t="s">
        <v>2274</v>
      </c>
      <c r="G100" s="66" t="s">
        <v>2275</v>
      </c>
    </row>
    <row r="101" spans="1:7" x14ac:dyDescent="0.35">
      <c r="A101">
        <v>1118028201</v>
      </c>
      <c r="B101" t="s">
        <v>2484</v>
      </c>
      <c r="C101" t="s">
        <v>2485</v>
      </c>
      <c r="D101" t="s">
        <v>2486</v>
      </c>
      <c r="E101" s="162" t="s">
        <v>1433</v>
      </c>
      <c r="F101" t="s">
        <v>2274</v>
      </c>
      <c r="G101" s="66" t="s">
        <v>2275</v>
      </c>
    </row>
    <row r="102" spans="1:7" x14ac:dyDescent="0.35">
      <c r="A102">
        <v>1118028201</v>
      </c>
      <c r="B102" t="s">
        <v>2484</v>
      </c>
      <c r="C102" t="s">
        <v>2485</v>
      </c>
      <c r="D102" t="s">
        <v>2487</v>
      </c>
      <c r="E102" s="162" t="s">
        <v>1433</v>
      </c>
      <c r="F102" t="s">
        <v>2299</v>
      </c>
      <c r="G102" s="164" t="s">
        <v>2300</v>
      </c>
    </row>
    <row r="103" spans="1:7" x14ac:dyDescent="0.35">
      <c r="A103">
        <v>1118028201</v>
      </c>
      <c r="B103" t="s">
        <v>2484</v>
      </c>
      <c r="C103" t="s">
        <v>2485</v>
      </c>
      <c r="D103" t="s">
        <v>2488</v>
      </c>
      <c r="E103" s="162" t="s">
        <v>1433</v>
      </c>
      <c r="F103" t="s">
        <v>2274</v>
      </c>
      <c r="G103" s="66" t="s">
        <v>2275</v>
      </c>
    </row>
    <row r="104" spans="1:7" x14ac:dyDescent="0.35">
      <c r="A104">
        <v>1118028201</v>
      </c>
      <c r="B104" t="s">
        <v>2484</v>
      </c>
      <c r="C104" t="s">
        <v>2489</v>
      </c>
      <c r="D104" t="s">
        <v>2490</v>
      </c>
      <c r="E104" s="162" t="s">
        <v>1433</v>
      </c>
      <c r="F104" t="s">
        <v>2274</v>
      </c>
      <c r="G104" s="66" t="s">
        <v>2275</v>
      </c>
    </row>
    <row r="105" spans="1:7" x14ac:dyDescent="0.35">
      <c r="A105">
        <v>1118028201</v>
      </c>
      <c r="B105" t="s">
        <v>2484</v>
      </c>
      <c r="C105" t="s">
        <v>2489</v>
      </c>
      <c r="D105" t="s">
        <v>2491</v>
      </c>
      <c r="E105" s="162" t="s">
        <v>1433</v>
      </c>
      <c r="F105" t="s">
        <v>2274</v>
      </c>
      <c r="G105" s="66" t="s">
        <v>2275</v>
      </c>
    </row>
    <row r="106" spans="1:7" x14ac:dyDescent="0.35">
      <c r="A106">
        <v>1118028201</v>
      </c>
      <c r="B106" t="s">
        <v>2484</v>
      </c>
      <c r="C106" t="s">
        <v>2489</v>
      </c>
      <c r="D106" t="s">
        <v>2492</v>
      </c>
      <c r="E106" s="162" t="s">
        <v>1433</v>
      </c>
      <c r="F106" t="s">
        <v>2274</v>
      </c>
      <c r="G106" s="66" t="s">
        <v>2275</v>
      </c>
    </row>
    <row r="107" spans="1:7" x14ac:dyDescent="0.35">
      <c r="A107">
        <v>1118028201</v>
      </c>
      <c r="B107" t="s">
        <v>2484</v>
      </c>
      <c r="C107" t="s">
        <v>2493</v>
      </c>
      <c r="D107" t="s">
        <v>2494</v>
      </c>
      <c r="E107" s="162" t="s">
        <v>1433</v>
      </c>
      <c r="F107" t="s">
        <v>2274</v>
      </c>
      <c r="G107" s="66" t="s">
        <v>2275</v>
      </c>
    </row>
    <row r="108" spans="1:7" x14ac:dyDescent="0.35">
      <c r="A108">
        <v>1118028201</v>
      </c>
      <c r="B108" t="s">
        <v>2484</v>
      </c>
      <c r="C108" t="s">
        <v>2493</v>
      </c>
      <c r="D108" t="s">
        <v>2495</v>
      </c>
      <c r="E108" s="162" t="s">
        <v>1433</v>
      </c>
      <c r="F108" t="s">
        <v>2274</v>
      </c>
      <c r="G108" s="66" t="s">
        <v>2275</v>
      </c>
    </row>
    <row r="109" spans="1:7" x14ac:dyDescent="0.35">
      <c r="A109">
        <v>1118028201</v>
      </c>
      <c r="B109" t="s">
        <v>2484</v>
      </c>
      <c r="C109" t="s">
        <v>2493</v>
      </c>
      <c r="D109" t="s">
        <v>2496</v>
      </c>
      <c r="E109" s="162" t="s">
        <v>1433</v>
      </c>
      <c r="F109" t="s">
        <v>2274</v>
      </c>
      <c r="G109" s="66" t="s">
        <v>2275</v>
      </c>
    </row>
    <row r="110" spans="1:7" x14ac:dyDescent="0.35">
      <c r="A110">
        <v>1118028201</v>
      </c>
      <c r="B110" t="s">
        <v>2484</v>
      </c>
      <c r="C110" t="s">
        <v>2497</v>
      </c>
      <c r="D110" t="s">
        <v>2498</v>
      </c>
      <c r="E110" s="162" t="s">
        <v>1433</v>
      </c>
      <c r="F110" t="s">
        <v>2274</v>
      </c>
      <c r="G110" s="66" t="s">
        <v>2275</v>
      </c>
    </row>
    <row r="111" spans="1:7" x14ac:dyDescent="0.35">
      <c r="A111">
        <v>1118028201</v>
      </c>
      <c r="B111" t="s">
        <v>2484</v>
      </c>
      <c r="C111" t="s">
        <v>2497</v>
      </c>
      <c r="D111" t="s">
        <v>2499</v>
      </c>
      <c r="E111" s="162" t="s">
        <v>1433</v>
      </c>
      <c r="F111" t="s">
        <v>2274</v>
      </c>
      <c r="G111" s="66" t="s">
        <v>2275</v>
      </c>
    </row>
    <row r="112" spans="1:7" x14ac:dyDescent="0.35">
      <c r="A112">
        <v>1118028201</v>
      </c>
      <c r="B112" t="s">
        <v>2484</v>
      </c>
      <c r="C112" t="s">
        <v>2500</v>
      </c>
      <c r="D112" t="s">
        <v>2501</v>
      </c>
      <c r="E112" s="162" t="s">
        <v>1433</v>
      </c>
      <c r="F112" t="s">
        <v>2274</v>
      </c>
      <c r="G112" s="66" t="s">
        <v>2275</v>
      </c>
    </row>
    <row r="113" spans="1:7" x14ac:dyDescent="0.35">
      <c r="A113">
        <v>1118028201</v>
      </c>
      <c r="B113" t="s">
        <v>2484</v>
      </c>
      <c r="C113" t="s">
        <v>2500</v>
      </c>
      <c r="D113" t="s">
        <v>2502</v>
      </c>
      <c r="E113" s="162" t="s">
        <v>1433</v>
      </c>
      <c r="F113" t="s">
        <v>2274</v>
      </c>
      <c r="G113" s="66" t="s">
        <v>2275</v>
      </c>
    </row>
    <row r="114" spans="1:7" x14ac:dyDescent="0.35">
      <c r="A114">
        <v>1118028376</v>
      </c>
      <c r="B114" t="s">
        <v>2319</v>
      </c>
      <c r="C114" t="s">
        <v>2503</v>
      </c>
      <c r="D114" t="s">
        <v>2504</v>
      </c>
      <c r="E114" s="162" t="s">
        <v>1433</v>
      </c>
      <c r="F114" t="s">
        <v>2274</v>
      </c>
      <c r="G114" s="66" t="s">
        <v>2275</v>
      </c>
    </row>
    <row r="115" spans="1:7" x14ac:dyDescent="0.35">
      <c r="A115">
        <v>1118028376</v>
      </c>
      <c r="B115" t="s">
        <v>2319</v>
      </c>
      <c r="C115" t="s">
        <v>2503</v>
      </c>
      <c r="D115" t="s">
        <v>2505</v>
      </c>
      <c r="E115" s="162" t="s">
        <v>1433</v>
      </c>
      <c r="F115" t="s">
        <v>2274</v>
      </c>
      <c r="G115" s="66" t="s">
        <v>2275</v>
      </c>
    </row>
    <row r="116" spans="1:7" x14ac:dyDescent="0.35">
      <c r="A116">
        <v>1118028376</v>
      </c>
      <c r="B116" t="s">
        <v>2319</v>
      </c>
      <c r="C116" t="s">
        <v>2503</v>
      </c>
      <c r="D116" t="s">
        <v>1937</v>
      </c>
      <c r="E116" s="65" t="s">
        <v>2278</v>
      </c>
      <c r="F116" t="s">
        <v>2299</v>
      </c>
      <c r="G116" s="164" t="s">
        <v>2300</v>
      </c>
    </row>
    <row r="117" spans="1:7" x14ac:dyDescent="0.35">
      <c r="A117">
        <v>1118028376</v>
      </c>
      <c r="B117" t="s">
        <v>2319</v>
      </c>
      <c r="C117" t="s">
        <v>2503</v>
      </c>
      <c r="D117" t="s">
        <v>2506</v>
      </c>
      <c r="E117" s="162" t="s">
        <v>1433</v>
      </c>
      <c r="F117" t="s">
        <v>2274</v>
      </c>
      <c r="G117" s="66" t="s">
        <v>2275</v>
      </c>
    </row>
    <row r="118" spans="1:7" x14ac:dyDescent="0.35">
      <c r="A118">
        <v>1118028376</v>
      </c>
      <c r="B118" t="s">
        <v>2319</v>
      </c>
      <c r="C118" t="s">
        <v>2507</v>
      </c>
      <c r="D118" t="s">
        <v>1495</v>
      </c>
      <c r="E118" s="123" t="s">
        <v>1493</v>
      </c>
      <c r="F118" t="s">
        <v>2274</v>
      </c>
      <c r="G118" s="66" t="s">
        <v>2275</v>
      </c>
    </row>
    <row r="119" spans="1:7" x14ac:dyDescent="0.35">
      <c r="A119">
        <v>1118028376</v>
      </c>
      <c r="B119" t="s">
        <v>2319</v>
      </c>
      <c r="C119" t="s">
        <v>2507</v>
      </c>
      <c r="D119" t="s">
        <v>2508</v>
      </c>
      <c r="E119" s="123" t="s">
        <v>1493</v>
      </c>
      <c r="F119" t="s">
        <v>2274</v>
      </c>
      <c r="G119" s="66" t="s">
        <v>2275</v>
      </c>
    </row>
    <row r="120" spans="1:7" x14ac:dyDescent="0.35">
      <c r="A120">
        <v>1118028376</v>
      </c>
      <c r="B120" t="s">
        <v>2319</v>
      </c>
      <c r="C120" t="s">
        <v>2507</v>
      </c>
      <c r="D120" t="s">
        <v>2509</v>
      </c>
      <c r="E120" s="161" t="s">
        <v>1917</v>
      </c>
      <c r="F120" t="s">
        <v>2274</v>
      </c>
      <c r="G120" s="66" t="s">
        <v>2275</v>
      </c>
    </row>
    <row r="121" spans="1:7" x14ac:dyDescent="0.35">
      <c r="A121">
        <v>1118028657</v>
      </c>
      <c r="B121" t="s">
        <v>445</v>
      </c>
      <c r="C121" t="s">
        <v>448</v>
      </c>
      <c r="D121" t="s">
        <v>1530</v>
      </c>
      <c r="E121" s="166" t="s">
        <v>1922</v>
      </c>
      <c r="F121" t="s">
        <v>2274</v>
      </c>
      <c r="G121" s="66" t="s">
        <v>2275</v>
      </c>
    </row>
    <row r="122" spans="1:7" x14ac:dyDescent="0.35">
      <c r="A122">
        <v>1118028657</v>
      </c>
      <c r="B122" t="s">
        <v>445</v>
      </c>
      <c r="C122" t="s">
        <v>448</v>
      </c>
      <c r="D122" t="s">
        <v>2510</v>
      </c>
      <c r="E122" s="166" t="s">
        <v>1922</v>
      </c>
      <c r="F122" t="s">
        <v>2274</v>
      </c>
      <c r="G122" s="66" t="s">
        <v>2275</v>
      </c>
    </row>
    <row r="123" spans="1:7" x14ac:dyDescent="0.35">
      <c r="A123">
        <v>1118028657</v>
      </c>
      <c r="B123" t="s">
        <v>445</v>
      </c>
      <c r="C123" t="s">
        <v>448</v>
      </c>
      <c r="D123" t="s">
        <v>2511</v>
      </c>
      <c r="E123" s="123" t="s">
        <v>1493</v>
      </c>
      <c r="F123" t="s">
        <v>2274</v>
      </c>
      <c r="G123" s="66" t="s">
        <v>2275</v>
      </c>
    </row>
    <row r="124" spans="1:7" x14ac:dyDescent="0.35">
      <c r="A124">
        <v>1118028657</v>
      </c>
      <c r="B124" t="s">
        <v>445</v>
      </c>
      <c r="C124" t="s">
        <v>2512</v>
      </c>
      <c r="D124" t="s">
        <v>2513</v>
      </c>
      <c r="E124" s="162" t="s">
        <v>1433</v>
      </c>
      <c r="F124" t="s">
        <v>2274</v>
      </c>
      <c r="G124" s="66" t="s">
        <v>2275</v>
      </c>
    </row>
    <row r="125" spans="1:7" x14ac:dyDescent="0.35">
      <c r="A125">
        <v>1118028657</v>
      </c>
      <c r="B125" t="s">
        <v>445</v>
      </c>
      <c r="C125" t="s">
        <v>2512</v>
      </c>
      <c r="D125" t="s">
        <v>2514</v>
      </c>
      <c r="E125" s="162" t="s">
        <v>1433</v>
      </c>
      <c r="F125" t="s">
        <v>2274</v>
      </c>
      <c r="G125" s="66" t="s">
        <v>2275</v>
      </c>
    </row>
    <row r="126" spans="1:7" x14ac:dyDescent="0.35">
      <c r="A126">
        <v>1118028657</v>
      </c>
      <c r="B126" t="s">
        <v>445</v>
      </c>
      <c r="C126" t="s">
        <v>2512</v>
      </c>
      <c r="D126" t="s">
        <v>1443</v>
      </c>
      <c r="E126" s="65" t="s">
        <v>2278</v>
      </c>
      <c r="F126" t="s">
        <v>2274</v>
      </c>
      <c r="G126" s="66" t="s">
        <v>2275</v>
      </c>
    </row>
    <row r="127" spans="1:7" x14ac:dyDescent="0.35">
      <c r="A127">
        <v>1118028657</v>
      </c>
      <c r="B127" t="s">
        <v>445</v>
      </c>
      <c r="C127" t="s">
        <v>2515</v>
      </c>
      <c r="D127" t="s">
        <v>2516</v>
      </c>
      <c r="E127" s="162" t="s">
        <v>1433</v>
      </c>
      <c r="F127" t="s">
        <v>2274</v>
      </c>
      <c r="G127" s="66" t="s">
        <v>2275</v>
      </c>
    </row>
    <row r="128" spans="1:7" x14ac:dyDescent="0.35">
      <c r="A128">
        <v>1118028657</v>
      </c>
      <c r="B128" t="s">
        <v>445</v>
      </c>
      <c r="C128" t="s">
        <v>2515</v>
      </c>
      <c r="D128" t="s">
        <v>2517</v>
      </c>
      <c r="E128" s="162" t="s">
        <v>1433</v>
      </c>
      <c r="F128" t="s">
        <v>2274</v>
      </c>
      <c r="G128" s="66" t="s">
        <v>2275</v>
      </c>
    </row>
    <row r="129" spans="1:7" x14ac:dyDescent="0.35">
      <c r="A129">
        <v>1118028657</v>
      </c>
      <c r="B129" t="s">
        <v>445</v>
      </c>
      <c r="C129" t="s">
        <v>2515</v>
      </c>
      <c r="D129" t="s">
        <v>2518</v>
      </c>
      <c r="E129" s="162" t="s">
        <v>1433</v>
      </c>
      <c r="F129" t="s">
        <v>2274</v>
      </c>
      <c r="G129" s="66" t="s">
        <v>2275</v>
      </c>
    </row>
    <row r="130" spans="1:7" x14ac:dyDescent="0.35">
      <c r="A130">
        <v>1118028681</v>
      </c>
      <c r="B130" t="s">
        <v>2519</v>
      </c>
      <c r="C130" t="s">
        <v>2520</v>
      </c>
      <c r="D130" t="s">
        <v>2521</v>
      </c>
      <c r="E130" s="162" t="s">
        <v>1433</v>
      </c>
      <c r="F130" t="s">
        <v>2274</v>
      </c>
      <c r="G130" s="66" t="s">
        <v>2275</v>
      </c>
    </row>
    <row r="131" spans="1:7" x14ac:dyDescent="0.35">
      <c r="A131">
        <v>1118028681</v>
      </c>
      <c r="B131" t="s">
        <v>2519</v>
      </c>
      <c r="C131" t="s">
        <v>2520</v>
      </c>
      <c r="D131" t="s">
        <v>2522</v>
      </c>
      <c r="E131" s="65" t="s">
        <v>2278</v>
      </c>
      <c r="F131" t="s">
        <v>2274</v>
      </c>
      <c r="G131" s="66" t="s">
        <v>2275</v>
      </c>
    </row>
    <row r="132" spans="1:7" x14ac:dyDescent="0.35">
      <c r="A132">
        <v>1118028681</v>
      </c>
      <c r="B132" t="s">
        <v>2519</v>
      </c>
      <c r="C132" t="s">
        <v>2520</v>
      </c>
      <c r="D132" t="s">
        <v>2523</v>
      </c>
      <c r="E132" s="162" t="s">
        <v>1433</v>
      </c>
      <c r="F132" t="s">
        <v>2274</v>
      </c>
      <c r="G132" s="66" t="s">
        <v>2275</v>
      </c>
    </row>
    <row r="133" spans="1:7" x14ac:dyDescent="0.35">
      <c r="A133">
        <v>1118028681</v>
      </c>
      <c r="B133" t="s">
        <v>2519</v>
      </c>
      <c r="C133" t="s">
        <v>2524</v>
      </c>
      <c r="D133" t="s">
        <v>2525</v>
      </c>
      <c r="E133" s="162" t="s">
        <v>1433</v>
      </c>
      <c r="F133" t="s">
        <v>2274</v>
      </c>
      <c r="G133" s="66" t="s">
        <v>2275</v>
      </c>
    </row>
    <row r="134" spans="1:7" x14ac:dyDescent="0.35">
      <c r="A134">
        <v>1118028681</v>
      </c>
      <c r="B134" t="s">
        <v>2519</v>
      </c>
      <c r="C134" t="s">
        <v>2524</v>
      </c>
      <c r="D134" t="s">
        <v>1443</v>
      </c>
      <c r="E134" s="65" t="s">
        <v>2278</v>
      </c>
      <c r="F134" t="s">
        <v>2299</v>
      </c>
      <c r="G134" s="164" t="s">
        <v>2300</v>
      </c>
    </row>
    <row r="135" spans="1:7" x14ac:dyDescent="0.35">
      <c r="A135">
        <v>1118028681</v>
      </c>
      <c r="B135" t="s">
        <v>2519</v>
      </c>
      <c r="C135" t="s">
        <v>2524</v>
      </c>
      <c r="D135" t="s">
        <v>2526</v>
      </c>
      <c r="E135" s="162" t="s">
        <v>1433</v>
      </c>
      <c r="F135" t="s">
        <v>2274</v>
      </c>
      <c r="G135" s="66" t="s">
        <v>2275</v>
      </c>
    </row>
    <row r="136" spans="1:7" x14ac:dyDescent="0.35">
      <c r="A136">
        <v>1118028681</v>
      </c>
      <c r="B136" t="s">
        <v>2519</v>
      </c>
      <c r="C136" t="s">
        <v>2527</v>
      </c>
      <c r="D136" t="s">
        <v>1695</v>
      </c>
      <c r="E136" s="65" t="s">
        <v>2278</v>
      </c>
      <c r="F136" t="s">
        <v>2274</v>
      </c>
      <c r="G136" s="66" t="s">
        <v>2275</v>
      </c>
    </row>
    <row r="137" spans="1:7" x14ac:dyDescent="0.35">
      <c r="A137">
        <v>1118028681</v>
      </c>
      <c r="B137" t="s">
        <v>2519</v>
      </c>
      <c r="C137" t="s">
        <v>2527</v>
      </c>
      <c r="D137" t="s">
        <v>2528</v>
      </c>
      <c r="E137" s="65" t="s">
        <v>2278</v>
      </c>
      <c r="F137" t="s">
        <v>2274</v>
      </c>
      <c r="G137" s="66" t="s">
        <v>2275</v>
      </c>
    </row>
    <row r="138" spans="1:7" x14ac:dyDescent="0.35">
      <c r="A138">
        <v>1118028681</v>
      </c>
      <c r="B138" t="s">
        <v>2519</v>
      </c>
      <c r="C138" t="s">
        <v>2529</v>
      </c>
      <c r="D138" t="s">
        <v>2530</v>
      </c>
      <c r="E138" s="162" t="s">
        <v>1433</v>
      </c>
      <c r="F138" t="s">
        <v>2274</v>
      </c>
      <c r="G138" s="66" t="s">
        <v>2275</v>
      </c>
    </row>
    <row r="139" spans="1:7" x14ac:dyDescent="0.35">
      <c r="A139">
        <v>1118028681</v>
      </c>
      <c r="B139" t="s">
        <v>2519</v>
      </c>
      <c r="C139" t="s">
        <v>2529</v>
      </c>
      <c r="D139" t="s">
        <v>2531</v>
      </c>
      <c r="E139" s="162" t="s">
        <v>1433</v>
      </c>
      <c r="F139" t="s">
        <v>2274</v>
      </c>
      <c r="G139" s="66" t="s">
        <v>2275</v>
      </c>
    </row>
    <row r="140" spans="1:7" x14ac:dyDescent="0.35">
      <c r="A140">
        <v>1118028681</v>
      </c>
      <c r="B140" t="s">
        <v>2519</v>
      </c>
      <c r="C140" t="s">
        <v>2529</v>
      </c>
      <c r="D140" t="s">
        <v>2532</v>
      </c>
      <c r="E140" s="162" t="s">
        <v>1433</v>
      </c>
      <c r="F140" t="s">
        <v>2274</v>
      </c>
      <c r="G140" s="66" t="s">
        <v>2275</v>
      </c>
    </row>
    <row r="141" spans="1:7" x14ac:dyDescent="0.35">
      <c r="A141">
        <v>1118028681</v>
      </c>
      <c r="B141" t="s">
        <v>2519</v>
      </c>
      <c r="C141" t="s">
        <v>2533</v>
      </c>
      <c r="D141" t="s">
        <v>2534</v>
      </c>
      <c r="E141" s="162" t="s">
        <v>1433</v>
      </c>
      <c r="F141" t="s">
        <v>2274</v>
      </c>
      <c r="G141" s="66" t="s">
        <v>2275</v>
      </c>
    </row>
    <row r="142" spans="1:7" x14ac:dyDescent="0.35">
      <c r="A142">
        <v>1118028681</v>
      </c>
      <c r="B142" t="s">
        <v>2519</v>
      </c>
      <c r="C142" t="s">
        <v>2533</v>
      </c>
      <c r="D142" t="s">
        <v>2535</v>
      </c>
      <c r="E142" s="162" t="s">
        <v>1433</v>
      </c>
      <c r="F142" t="s">
        <v>2274</v>
      </c>
      <c r="G142" s="66" t="s">
        <v>2275</v>
      </c>
    </row>
    <row r="143" spans="1:7" x14ac:dyDescent="0.35">
      <c r="A143">
        <v>1118028681</v>
      </c>
      <c r="B143" t="s">
        <v>2519</v>
      </c>
      <c r="C143" t="s">
        <v>2536</v>
      </c>
      <c r="D143" t="s">
        <v>2537</v>
      </c>
      <c r="E143" s="162" t="s">
        <v>1433</v>
      </c>
      <c r="F143" t="s">
        <v>2274</v>
      </c>
      <c r="G143" s="66" t="s">
        <v>2275</v>
      </c>
    </row>
    <row r="144" spans="1:7" x14ac:dyDescent="0.35">
      <c r="A144">
        <v>1118028681</v>
      </c>
      <c r="B144" t="s">
        <v>2519</v>
      </c>
      <c r="C144" t="s">
        <v>2536</v>
      </c>
      <c r="D144" t="s">
        <v>2538</v>
      </c>
      <c r="E144" s="162" t="s">
        <v>1433</v>
      </c>
      <c r="F144" t="s">
        <v>2274</v>
      </c>
      <c r="G144" s="66" t="s">
        <v>2275</v>
      </c>
    </row>
    <row r="145" spans="1:7" x14ac:dyDescent="0.35">
      <c r="A145">
        <v>1118028681</v>
      </c>
      <c r="B145" t="s">
        <v>2519</v>
      </c>
      <c r="C145" t="s">
        <v>2536</v>
      </c>
      <c r="D145" t="s">
        <v>2539</v>
      </c>
      <c r="E145" s="65" t="s">
        <v>2278</v>
      </c>
      <c r="F145" t="s">
        <v>2274</v>
      </c>
      <c r="G145" s="66" t="s">
        <v>2275</v>
      </c>
    </row>
    <row r="146" spans="1:7" x14ac:dyDescent="0.35">
      <c r="A146">
        <v>1118028828</v>
      </c>
      <c r="B146" t="s">
        <v>460</v>
      </c>
      <c r="C146" t="s">
        <v>2540</v>
      </c>
      <c r="D146" t="s">
        <v>2541</v>
      </c>
      <c r="E146" s="162" t="s">
        <v>1433</v>
      </c>
      <c r="F146" t="s">
        <v>2274</v>
      </c>
      <c r="G146" s="66" t="s">
        <v>2275</v>
      </c>
    </row>
    <row r="147" spans="1:7" x14ac:dyDescent="0.35">
      <c r="A147">
        <v>1118028828</v>
      </c>
      <c r="B147" t="s">
        <v>460</v>
      </c>
      <c r="C147" t="s">
        <v>2540</v>
      </c>
      <c r="D147" t="s">
        <v>2542</v>
      </c>
      <c r="E147" s="65" t="s">
        <v>2278</v>
      </c>
      <c r="F147" t="s">
        <v>2299</v>
      </c>
      <c r="G147" s="164" t="s">
        <v>2300</v>
      </c>
    </row>
    <row r="148" spans="1:7" x14ac:dyDescent="0.35">
      <c r="A148">
        <v>1118028828</v>
      </c>
      <c r="B148" t="s">
        <v>460</v>
      </c>
      <c r="C148" t="s">
        <v>2540</v>
      </c>
      <c r="D148" t="s">
        <v>2543</v>
      </c>
      <c r="E148" s="162" t="s">
        <v>1433</v>
      </c>
      <c r="F148" t="s">
        <v>2274</v>
      </c>
      <c r="G148" s="66" t="s">
        <v>2275</v>
      </c>
    </row>
    <row r="149" spans="1:7" x14ac:dyDescent="0.35">
      <c r="A149">
        <v>1118028828</v>
      </c>
      <c r="B149" t="s">
        <v>460</v>
      </c>
      <c r="C149" t="s">
        <v>2544</v>
      </c>
      <c r="D149" t="s">
        <v>2545</v>
      </c>
      <c r="E149" s="162" t="s">
        <v>1433</v>
      </c>
      <c r="F149" t="s">
        <v>2274</v>
      </c>
      <c r="G149" s="66" t="s">
        <v>2275</v>
      </c>
    </row>
    <row r="150" spans="1:7" x14ac:dyDescent="0.35">
      <c r="A150">
        <v>1118028828</v>
      </c>
      <c r="B150" t="s">
        <v>460</v>
      </c>
      <c r="C150" t="s">
        <v>2544</v>
      </c>
      <c r="D150" t="s">
        <v>1495</v>
      </c>
      <c r="E150" s="123" t="s">
        <v>1493</v>
      </c>
      <c r="F150" t="s">
        <v>2299</v>
      </c>
      <c r="G150" s="164" t="s">
        <v>2300</v>
      </c>
    </row>
    <row r="151" spans="1:7" x14ac:dyDescent="0.35">
      <c r="A151">
        <v>1118028828</v>
      </c>
      <c r="B151" t="s">
        <v>460</v>
      </c>
      <c r="C151" t="s">
        <v>2544</v>
      </c>
      <c r="D151" t="s">
        <v>2546</v>
      </c>
      <c r="E151" s="162" t="s">
        <v>1433</v>
      </c>
      <c r="F151" t="s">
        <v>2274</v>
      </c>
      <c r="G151" s="66" t="s">
        <v>2275</v>
      </c>
    </row>
    <row r="152" spans="1:7" x14ac:dyDescent="0.35">
      <c r="A152">
        <v>1118028828</v>
      </c>
      <c r="B152" t="s">
        <v>460</v>
      </c>
      <c r="C152" t="s">
        <v>2547</v>
      </c>
      <c r="D152" t="s">
        <v>2548</v>
      </c>
      <c r="E152" s="162" t="s">
        <v>1433</v>
      </c>
      <c r="F152" t="s">
        <v>2274</v>
      </c>
      <c r="G152" s="66" t="s">
        <v>2275</v>
      </c>
    </row>
    <row r="153" spans="1:7" x14ac:dyDescent="0.35">
      <c r="A153">
        <v>1118028828</v>
      </c>
      <c r="B153" t="s">
        <v>460</v>
      </c>
      <c r="C153" t="s">
        <v>2547</v>
      </c>
      <c r="D153" t="s">
        <v>2549</v>
      </c>
      <c r="E153" s="162" t="s">
        <v>1433</v>
      </c>
      <c r="F153" t="s">
        <v>2274</v>
      </c>
      <c r="G153" s="66" t="s">
        <v>2275</v>
      </c>
    </row>
    <row r="154" spans="1:7" x14ac:dyDescent="0.35">
      <c r="A154">
        <v>1118028828</v>
      </c>
      <c r="B154" t="s">
        <v>460</v>
      </c>
      <c r="C154" t="s">
        <v>2550</v>
      </c>
      <c r="D154" t="s">
        <v>2551</v>
      </c>
      <c r="E154" s="162" t="s">
        <v>1433</v>
      </c>
      <c r="F154" t="s">
        <v>2274</v>
      </c>
      <c r="G154" s="66" t="s">
        <v>2275</v>
      </c>
    </row>
    <row r="155" spans="1:7" x14ac:dyDescent="0.35">
      <c r="A155">
        <v>1118028828</v>
      </c>
      <c r="B155" t="s">
        <v>460</v>
      </c>
      <c r="C155" t="s">
        <v>2550</v>
      </c>
      <c r="D155" t="s">
        <v>2552</v>
      </c>
      <c r="E155" s="162" t="s">
        <v>1433</v>
      </c>
      <c r="F155" t="s">
        <v>2274</v>
      </c>
      <c r="G155" s="66" t="s">
        <v>2275</v>
      </c>
    </row>
    <row r="156" spans="1:7" x14ac:dyDescent="0.35">
      <c r="A156">
        <v>1118028828</v>
      </c>
      <c r="B156" t="s">
        <v>460</v>
      </c>
      <c r="C156" t="s">
        <v>2553</v>
      </c>
      <c r="D156" t="s">
        <v>2554</v>
      </c>
      <c r="E156" s="162" t="s">
        <v>1433</v>
      </c>
      <c r="F156" t="s">
        <v>2274</v>
      </c>
      <c r="G156" s="66" t="s">
        <v>2275</v>
      </c>
    </row>
    <row r="157" spans="1:7" x14ac:dyDescent="0.35">
      <c r="A157">
        <v>1118028828</v>
      </c>
      <c r="B157" t="s">
        <v>460</v>
      </c>
      <c r="C157" t="s">
        <v>2553</v>
      </c>
      <c r="D157" t="s">
        <v>2555</v>
      </c>
      <c r="E157" s="162" t="s">
        <v>1433</v>
      </c>
      <c r="F157" t="s">
        <v>2274</v>
      </c>
      <c r="G157" s="66" t="s">
        <v>2275</v>
      </c>
    </row>
    <row r="158" spans="1:7" x14ac:dyDescent="0.35">
      <c r="A158">
        <v>1118028828</v>
      </c>
      <c r="B158" t="s">
        <v>460</v>
      </c>
      <c r="C158" t="s">
        <v>2556</v>
      </c>
      <c r="D158" t="s">
        <v>2557</v>
      </c>
      <c r="E158" s="162" t="s">
        <v>1433</v>
      </c>
      <c r="F158" t="s">
        <v>2274</v>
      </c>
      <c r="G158" s="66" t="s">
        <v>2275</v>
      </c>
    </row>
    <row r="159" spans="1:7" x14ac:dyDescent="0.35">
      <c r="A159">
        <v>1118028828</v>
      </c>
      <c r="B159" t="s">
        <v>460</v>
      </c>
      <c r="C159" t="s">
        <v>2556</v>
      </c>
      <c r="D159" t="s">
        <v>2558</v>
      </c>
      <c r="E159" s="162" t="s">
        <v>1433</v>
      </c>
      <c r="F159" t="s">
        <v>2274</v>
      </c>
      <c r="G159" s="66" t="s">
        <v>2275</v>
      </c>
    </row>
    <row r="160" spans="1:7" x14ac:dyDescent="0.35">
      <c r="A160">
        <v>1118028828</v>
      </c>
      <c r="B160" t="s">
        <v>460</v>
      </c>
      <c r="C160" t="s">
        <v>2559</v>
      </c>
      <c r="D160" t="s">
        <v>2560</v>
      </c>
      <c r="E160" s="162" t="s">
        <v>1433</v>
      </c>
      <c r="F160" t="s">
        <v>2274</v>
      </c>
      <c r="G160" s="66" t="s">
        <v>2275</v>
      </c>
    </row>
    <row r="161" spans="1:7" x14ac:dyDescent="0.35">
      <c r="A161">
        <v>1118028828</v>
      </c>
      <c r="B161" t="s">
        <v>460</v>
      </c>
      <c r="C161" t="s">
        <v>2559</v>
      </c>
      <c r="D161" t="s">
        <v>2561</v>
      </c>
      <c r="E161" s="161" t="s">
        <v>1917</v>
      </c>
      <c r="F161" t="s">
        <v>2274</v>
      </c>
      <c r="G161" s="66" t="s">
        <v>2275</v>
      </c>
    </row>
    <row r="162" spans="1:7" x14ac:dyDescent="0.35">
      <c r="A162">
        <v>1118028828</v>
      </c>
      <c r="B162" t="s">
        <v>460</v>
      </c>
      <c r="C162" t="s">
        <v>2562</v>
      </c>
      <c r="D162" t="s">
        <v>2563</v>
      </c>
      <c r="E162" s="162" t="s">
        <v>1433</v>
      </c>
      <c r="F162" t="s">
        <v>2274</v>
      </c>
      <c r="G162" s="66" t="s">
        <v>2275</v>
      </c>
    </row>
    <row r="163" spans="1:7" x14ac:dyDescent="0.35">
      <c r="A163">
        <v>1118028828</v>
      </c>
      <c r="B163" t="s">
        <v>460</v>
      </c>
      <c r="C163" t="s">
        <v>2562</v>
      </c>
      <c r="D163" t="s">
        <v>2564</v>
      </c>
      <c r="E163" s="123" t="s">
        <v>1493</v>
      </c>
      <c r="F163" t="s">
        <v>2274</v>
      </c>
      <c r="G163" s="66" t="s">
        <v>2275</v>
      </c>
    </row>
    <row r="164" spans="1:7" x14ac:dyDescent="0.35">
      <c r="A164">
        <v>1118028833</v>
      </c>
      <c r="B164" t="s">
        <v>2565</v>
      </c>
      <c r="C164" t="s">
        <v>2566</v>
      </c>
      <c r="D164" t="s">
        <v>2567</v>
      </c>
      <c r="E164" s="162" t="s">
        <v>1433</v>
      </c>
      <c r="F164" t="s">
        <v>2274</v>
      </c>
      <c r="G164" s="66" t="s">
        <v>2275</v>
      </c>
    </row>
    <row r="165" spans="1:7" x14ac:dyDescent="0.35">
      <c r="A165">
        <v>1118028833</v>
      </c>
      <c r="B165" t="s">
        <v>2565</v>
      </c>
      <c r="C165" t="s">
        <v>2566</v>
      </c>
      <c r="D165" t="s">
        <v>2522</v>
      </c>
      <c r="E165" s="65" t="s">
        <v>2278</v>
      </c>
      <c r="F165" t="s">
        <v>2274</v>
      </c>
      <c r="G165" s="66" t="s">
        <v>2275</v>
      </c>
    </row>
    <row r="166" spans="1:7" x14ac:dyDescent="0.35">
      <c r="A166">
        <v>1118028833</v>
      </c>
      <c r="B166" t="s">
        <v>2565</v>
      </c>
      <c r="C166" t="s">
        <v>2566</v>
      </c>
      <c r="D166" t="s">
        <v>2568</v>
      </c>
      <c r="E166" s="162" t="s">
        <v>1433</v>
      </c>
      <c r="F166" t="s">
        <v>2274</v>
      </c>
      <c r="G166" s="66" t="s">
        <v>2275</v>
      </c>
    </row>
    <row r="167" spans="1:7" x14ac:dyDescent="0.35">
      <c r="A167">
        <v>1118028833</v>
      </c>
      <c r="B167" t="s">
        <v>2565</v>
      </c>
      <c r="C167" t="s">
        <v>2569</v>
      </c>
      <c r="D167" t="s">
        <v>2570</v>
      </c>
      <c r="E167" s="162" t="s">
        <v>1433</v>
      </c>
      <c r="F167" t="s">
        <v>2274</v>
      </c>
      <c r="G167" s="66" t="s">
        <v>2275</v>
      </c>
    </row>
    <row r="168" spans="1:7" x14ac:dyDescent="0.35">
      <c r="A168">
        <v>1118028833</v>
      </c>
      <c r="B168" t="s">
        <v>2565</v>
      </c>
      <c r="C168" t="s">
        <v>2569</v>
      </c>
      <c r="D168" t="s">
        <v>2571</v>
      </c>
      <c r="E168" s="162" t="s">
        <v>1433</v>
      </c>
      <c r="F168" t="s">
        <v>2274</v>
      </c>
      <c r="G168" s="66" t="s">
        <v>2275</v>
      </c>
    </row>
    <row r="169" spans="1:7" x14ac:dyDescent="0.35">
      <c r="A169">
        <v>1118028833</v>
      </c>
      <c r="B169" t="s">
        <v>2565</v>
      </c>
      <c r="C169" t="s">
        <v>2572</v>
      </c>
      <c r="D169" t="s">
        <v>2573</v>
      </c>
      <c r="E169" s="162" t="s">
        <v>1433</v>
      </c>
      <c r="F169" t="s">
        <v>2274</v>
      </c>
      <c r="G169" s="66" t="s">
        <v>2275</v>
      </c>
    </row>
    <row r="170" spans="1:7" x14ac:dyDescent="0.35">
      <c r="A170">
        <v>1118028833</v>
      </c>
      <c r="B170" t="s">
        <v>2565</v>
      </c>
      <c r="C170" t="s">
        <v>2572</v>
      </c>
      <c r="D170" t="s">
        <v>2426</v>
      </c>
      <c r="E170" s="162" t="s">
        <v>1433</v>
      </c>
      <c r="F170" t="s">
        <v>2274</v>
      </c>
      <c r="G170" s="66" t="s">
        <v>2275</v>
      </c>
    </row>
    <row r="171" spans="1:7" x14ac:dyDescent="0.35">
      <c r="A171">
        <v>1118028833</v>
      </c>
      <c r="B171" t="s">
        <v>2565</v>
      </c>
      <c r="C171" t="s">
        <v>2572</v>
      </c>
      <c r="D171" t="s">
        <v>2574</v>
      </c>
      <c r="E171" s="162" t="s">
        <v>1433</v>
      </c>
      <c r="F171" t="s">
        <v>2274</v>
      </c>
      <c r="G171" s="66" t="s">
        <v>2275</v>
      </c>
    </row>
    <row r="172" spans="1:7" x14ac:dyDescent="0.35">
      <c r="A172">
        <v>1118028887</v>
      </c>
      <c r="B172" t="s">
        <v>105</v>
      </c>
      <c r="C172" t="s">
        <v>2575</v>
      </c>
      <c r="D172" t="s">
        <v>2576</v>
      </c>
      <c r="E172" s="162" t="s">
        <v>1433</v>
      </c>
      <c r="F172" t="s">
        <v>2274</v>
      </c>
      <c r="G172" s="66" t="s">
        <v>2275</v>
      </c>
    </row>
    <row r="173" spans="1:7" x14ac:dyDescent="0.35">
      <c r="A173">
        <v>1118028887</v>
      </c>
      <c r="B173" t="s">
        <v>105</v>
      </c>
      <c r="C173" t="s">
        <v>2575</v>
      </c>
      <c r="D173" t="s">
        <v>2408</v>
      </c>
      <c r="E173" s="162" t="s">
        <v>1433</v>
      </c>
      <c r="F173" t="s">
        <v>2274</v>
      </c>
      <c r="G173" s="66" t="s">
        <v>2275</v>
      </c>
    </row>
    <row r="174" spans="1:7" x14ac:dyDescent="0.35">
      <c r="A174">
        <v>1118028887</v>
      </c>
      <c r="B174" t="s">
        <v>105</v>
      </c>
      <c r="C174" t="s">
        <v>2575</v>
      </c>
      <c r="D174" t="s">
        <v>2577</v>
      </c>
      <c r="E174" s="65" t="s">
        <v>2278</v>
      </c>
      <c r="F174" t="s">
        <v>2274</v>
      </c>
      <c r="G174" s="66" t="s">
        <v>2275</v>
      </c>
    </row>
    <row r="175" spans="1:7" x14ac:dyDescent="0.35">
      <c r="A175">
        <v>1118028887</v>
      </c>
      <c r="B175" t="s">
        <v>105</v>
      </c>
      <c r="C175" t="s">
        <v>2578</v>
      </c>
      <c r="D175" t="s">
        <v>2579</v>
      </c>
      <c r="E175" s="162" t="s">
        <v>1433</v>
      </c>
      <c r="F175" t="s">
        <v>2274</v>
      </c>
      <c r="G175" s="66" t="s">
        <v>2275</v>
      </c>
    </row>
    <row r="176" spans="1:7" x14ac:dyDescent="0.35">
      <c r="A176">
        <v>1118028887</v>
      </c>
      <c r="B176" t="s">
        <v>105</v>
      </c>
      <c r="C176" t="s">
        <v>2578</v>
      </c>
      <c r="D176" t="s">
        <v>1717</v>
      </c>
      <c r="E176" s="65" t="s">
        <v>2278</v>
      </c>
      <c r="F176" t="s">
        <v>2274</v>
      </c>
      <c r="G176" s="66" t="s">
        <v>2275</v>
      </c>
    </row>
    <row r="177" spans="1:7" x14ac:dyDescent="0.35">
      <c r="A177">
        <v>1118028887</v>
      </c>
      <c r="B177" t="s">
        <v>105</v>
      </c>
      <c r="C177" t="s">
        <v>2578</v>
      </c>
      <c r="D177" t="s">
        <v>2580</v>
      </c>
      <c r="E177" s="162" t="s">
        <v>1433</v>
      </c>
      <c r="F177" t="s">
        <v>2274</v>
      </c>
      <c r="G177" s="66" t="s">
        <v>2275</v>
      </c>
    </row>
    <row r="178" spans="1:7" x14ac:dyDescent="0.35">
      <c r="A178">
        <v>1118028887</v>
      </c>
      <c r="B178" t="s">
        <v>105</v>
      </c>
      <c r="C178" t="s">
        <v>2581</v>
      </c>
      <c r="D178" t="s">
        <v>2582</v>
      </c>
      <c r="E178" s="162" t="s">
        <v>1433</v>
      </c>
      <c r="F178" t="s">
        <v>2274</v>
      </c>
      <c r="G178" s="66" t="s">
        <v>2275</v>
      </c>
    </row>
    <row r="179" spans="1:7" x14ac:dyDescent="0.35">
      <c r="A179">
        <v>1118028887</v>
      </c>
      <c r="B179" t="s">
        <v>105</v>
      </c>
      <c r="C179" t="s">
        <v>2581</v>
      </c>
      <c r="D179" t="s">
        <v>1623</v>
      </c>
      <c r="E179" s="65" t="s">
        <v>2278</v>
      </c>
      <c r="F179" t="s">
        <v>2274</v>
      </c>
      <c r="G179" s="66" t="s">
        <v>2275</v>
      </c>
    </row>
    <row r="180" spans="1:7" x14ac:dyDescent="0.35">
      <c r="A180">
        <v>1118028887</v>
      </c>
      <c r="B180" t="s">
        <v>105</v>
      </c>
      <c r="C180" t="s">
        <v>2581</v>
      </c>
      <c r="D180" t="s">
        <v>2583</v>
      </c>
      <c r="E180" s="162" t="s">
        <v>1433</v>
      </c>
      <c r="F180" t="s">
        <v>2274</v>
      </c>
      <c r="G180" s="66" t="s">
        <v>2275</v>
      </c>
    </row>
    <row r="181" spans="1:7" x14ac:dyDescent="0.35">
      <c r="A181">
        <v>1118028891</v>
      </c>
      <c r="B181" t="s">
        <v>1293</v>
      </c>
      <c r="C181" t="s">
        <v>2272</v>
      </c>
      <c r="D181" t="s">
        <v>2273</v>
      </c>
      <c r="E181" s="162" t="s">
        <v>1433</v>
      </c>
      <c r="F181" t="s">
        <v>2274</v>
      </c>
      <c r="G181" s="66" t="s">
        <v>2275</v>
      </c>
    </row>
    <row r="182" spans="1:7" x14ac:dyDescent="0.35">
      <c r="A182">
        <v>1118028891</v>
      </c>
      <c r="B182" t="s">
        <v>1293</v>
      </c>
      <c r="C182" t="s">
        <v>2272</v>
      </c>
      <c r="D182" t="s">
        <v>2276</v>
      </c>
      <c r="E182" s="162" t="s">
        <v>1433</v>
      </c>
      <c r="F182" t="s">
        <v>2274</v>
      </c>
      <c r="G182" s="66" t="s">
        <v>2275</v>
      </c>
    </row>
    <row r="183" spans="1:7" x14ac:dyDescent="0.35">
      <c r="A183">
        <v>1118028891</v>
      </c>
      <c r="B183" t="s">
        <v>1293</v>
      </c>
      <c r="C183" t="s">
        <v>2272</v>
      </c>
      <c r="D183" t="s">
        <v>2584</v>
      </c>
      <c r="E183" s="162" t="s">
        <v>1433</v>
      </c>
      <c r="F183" t="s">
        <v>2274</v>
      </c>
      <c r="G183" s="66" t="s">
        <v>2275</v>
      </c>
    </row>
    <row r="184" spans="1:7" x14ac:dyDescent="0.35">
      <c r="A184">
        <v>1118028891</v>
      </c>
      <c r="B184" t="s">
        <v>1293</v>
      </c>
      <c r="C184" t="s">
        <v>2585</v>
      </c>
      <c r="D184" t="s">
        <v>2586</v>
      </c>
      <c r="E184" s="162" t="s">
        <v>1433</v>
      </c>
      <c r="F184" t="s">
        <v>2274</v>
      </c>
      <c r="G184" s="66" t="s">
        <v>2275</v>
      </c>
    </row>
    <row r="185" spans="1:7" x14ac:dyDescent="0.35">
      <c r="A185">
        <v>1118028891</v>
      </c>
      <c r="B185" t="s">
        <v>1293</v>
      </c>
      <c r="C185" t="s">
        <v>2585</v>
      </c>
      <c r="D185" t="s">
        <v>2587</v>
      </c>
      <c r="E185" s="162" t="s">
        <v>1433</v>
      </c>
      <c r="F185" t="s">
        <v>2274</v>
      </c>
      <c r="G185" s="66" t="s">
        <v>2275</v>
      </c>
    </row>
    <row r="186" spans="1:7" x14ac:dyDescent="0.35">
      <c r="A186">
        <v>1118028891</v>
      </c>
      <c r="B186" t="s">
        <v>1293</v>
      </c>
      <c r="C186" t="s">
        <v>2585</v>
      </c>
      <c r="D186" t="s">
        <v>2588</v>
      </c>
      <c r="E186" s="162" t="s">
        <v>1433</v>
      </c>
      <c r="F186" t="s">
        <v>2274</v>
      </c>
      <c r="G186" s="66" t="s">
        <v>2275</v>
      </c>
    </row>
    <row r="187" spans="1:7" x14ac:dyDescent="0.35">
      <c r="A187">
        <v>1118028891</v>
      </c>
      <c r="B187" t="s">
        <v>1293</v>
      </c>
      <c r="C187" t="s">
        <v>2589</v>
      </c>
      <c r="D187" t="s">
        <v>1556</v>
      </c>
      <c r="E187" s="162" t="s">
        <v>1433</v>
      </c>
      <c r="F187" t="s">
        <v>2274</v>
      </c>
      <c r="G187" s="66" t="s">
        <v>2275</v>
      </c>
    </row>
    <row r="188" spans="1:7" x14ac:dyDescent="0.35">
      <c r="A188">
        <v>1118028891</v>
      </c>
      <c r="B188" t="s">
        <v>1293</v>
      </c>
      <c r="C188" t="s">
        <v>2589</v>
      </c>
      <c r="D188" t="s">
        <v>2590</v>
      </c>
      <c r="E188" s="162" t="s">
        <v>1433</v>
      </c>
      <c r="F188" t="s">
        <v>2274</v>
      </c>
      <c r="G188" s="66" t="s">
        <v>2275</v>
      </c>
    </row>
    <row r="189" spans="1:7" x14ac:dyDescent="0.35">
      <c r="A189">
        <v>1118028891</v>
      </c>
      <c r="B189" t="s">
        <v>1293</v>
      </c>
      <c r="C189" t="s">
        <v>2589</v>
      </c>
      <c r="D189" t="s">
        <v>2591</v>
      </c>
      <c r="E189" s="65" t="s">
        <v>2278</v>
      </c>
      <c r="F189" t="s">
        <v>2274</v>
      </c>
      <c r="G189" s="66" t="s">
        <v>2275</v>
      </c>
    </row>
    <row r="190" spans="1:7" x14ac:dyDescent="0.35">
      <c r="A190">
        <v>1118028891</v>
      </c>
      <c r="B190" t="s">
        <v>1293</v>
      </c>
      <c r="C190" t="s">
        <v>2279</v>
      </c>
      <c r="D190" t="s">
        <v>2280</v>
      </c>
      <c r="E190" s="162" t="s">
        <v>1433</v>
      </c>
      <c r="F190" t="s">
        <v>2274</v>
      </c>
      <c r="G190" s="66" t="s">
        <v>2275</v>
      </c>
    </row>
    <row r="191" spans="1:7" x14ac:dyDescent="0.35">
      <c r="A191">
        <v>1118028891</v>
      </c>
      <c r="B191" t="s">
        <v>1293</v>
      </c>
      <c r="C191" t="s">
        <v>2279</v>
      </c>
      <c r="D191" t="s">
        <v>2592</v>
      </c>
      <c r="E191" s="162" t="s">
        <v>1433</v>
      </c>
      <c r="F191" t="s">
        <v>2274</v>
      </c>
      <c r="G191" s="66" t="s">
        <v>2275</v>
      </c>
    </row>
    <row r="192" spans="1:7" x14ac:dyDescent="0.35">
      <c r="A192">
        <v>1118028891</v>
      </c>
      <c r="B192" t="s">
        <v>1293</v>
      </c>
      <c r="C192" t="s">
        <v>2279</v>
      </c>
      <c r="D192" t="s">
        <v>1435</v>
      </c>
      <c r="E192" s="65" t="s">
        <v>2278</v>
      </c>
      <c r="F192" t="s">
        <v>2274</v>
      </c>
      <c r="G192" s="66" t="s">
        <v>2275</v>
      </c>
    </row>
    <row r="193" spans="1:7" x14ac:dyDescent="0.35">
      <c r="A193">
        <v>1118028891</v>
      </c>
      <c r="B193" t="s">
        <v>1293</v>
      </c>
      <c r="C193" t="s">
        <v>2593</v>
      </c>
      <c r="D193" t="s">
        <v>2594</v>
      </c>
      <c r="E193" s="162" t="s">
        <v>1433</v>
      </c>
      <c r="F193" t="s">
        <v>2274</v>
      </c>
      <c r="G193" s="66" t="s">
        <v>2275</v>
      </c>
    </row>
    <row r="194" spans="1:7" x14ac:dyDescent="0.35">
      <c r="A194">
        <v>1118028891</v>
      </c>
      <c r="B194" t="s">
        <v>1293</v>
      </c>
      <c r="C194" t="s">
        <v>2593</v>
      </c>
      <c r="D194" t="s">
        <v>2595</v>
      </c>
      <c r="E194" s="162" t="s">
        <v>1433</v>
      </c>
      <c r="F194" t="s">
        <v>2274</v>
      </c>
      <c r="G194" s="66" t="s">
        <v>2275</v>
      </c>
    </row>
    <row r="195" spans="1:7" x14ac:dyDescent="0.35">
      <c r="A195">
        <v>1118028891</v>
      </c>
      <c r="B195" t="s">
        <v>1293</v>
      </c>
      <c r="C195" t="s">
        <v>2277</v>
      </c>
      <c r="D195" t="s">
        <v>2375</v>
      </c>
      <c r="E195" s="162" t="s">
        <v>1433</v>
      </c>
      <c r="F195" t="s">
        <v>2274</v>
      </c>
      <c r="G195" s="66" t="s">
        <v>2275</v>
      </c>
    </row>
    <row r="196" spans="1:7" x14ac:dyDescent="0.35">
      <c r="A196">
        <v>1118028891</v>
      </c>
      <c r="B196" t="s">
        <v>1293</v>
      </c>
      <c r="C196" t="s">
        <v>2277</v>
      </c>
      <c r="D196" t="s">
        <v>2596</v>
      </c>
      <c r="E196" s="162" t="s">
        <v>1433</v>
      </c>
      <c r="F196" t="s">
        <v>2274</v>
      </c>
      <c r="G196" s="66" t="s">
        <v>2275</v>
      </c>
    </row>
    <row r="197" spans="1:7" x14ac:dyDescent="0.35">
      <c r="A197">
        <v>1118028891</v>
      </c>
      <c r="B197" t="s">
        <v>1293</v>
      </c>
      <c r="C197" t="s">
        <v>2597</v>
      </c>
      <c r="D197" t="s">
        <v>2598</v>
      </c>
      <c r="E197" s="162" t="s">
        <v>1433</v>
      </c>
      <c r="F197" t="s">
        <v>2274</v>
      </c>
      <c r="G197" s="66" t="s">
        <v>2275</v>
      </c>
    </row>
    <row r="198" spans="1:7" x14ac:dyDescent="0.35">
      <c r="A198">
        <v>1118028891</v>
      </c>
      <c r="B198" t="s">
        <v>1293</v>
      </c>
      <c r="C198" t="s">
        <v>2597</v>
      </c>
      <c r="D198" t="s">
        <v>2599</v>
      </c>
      <c r="E198" s="162" t="s">
        <v>1433</v>
      </c>
      <c r="F198" t="s">
        <v>2274</v>
      </c>
      <c r="G198" s="66" t="s">
        <v>2275</v>
      </c>
    </row>
    <row r="199" spans="1:7" x14ac:dyDescent="0.35">
      <c r="A199">
        <v>1117990944</v>
      </c>
      <c r="B199" t="s">
        <v>2209</v>
      </c>
      <c r="C199" t="s">
        <v>2600</v>
      </c>
      <c r="D199" t="s">
        <v>2601</v>
      </c>
      <c r="E199" s="162" t="s">
        <v>1433</v>
      </c>
      <c r="F199" t="s">
        <v>2274</v>
      </c>
      <c r="G199" s="66" t="s">
        <v>2275</v>
      </c>
    </row>
    <row r="200" spans="1:7" x14ac:dyDescent="0.35">
      <c r="A200">
        <v>1117990944</v>
      </c>
      <c r="B200" t="s">
        <v>2209</v>
      </c>
      <c r="C200" t="s">
        <v>2600</v>
      </c>
      <c r="D200" t="s">
        <v>2438</v>
      </c>
      <c r="E200" s="162" t="s">
        <v>1433</v>
      </c>
      <c r="F200" t="s">
        <v>2274</v>
      </c>
      <c r="G200" s="66" t="s">
        <v>2275</v>
      </c>
    </row>
    <row r="201" spans="1:7" x14ac:dyDescent="0.35">
      <c r="A201">
        <v>1117990944</v>
      </c>
      <c r="B201" t="s">
        <v>2209</v>
      </c>
      <c r="C201" t="s">
        <v>2600</v>
      </c>
      <c r="D201" t="s">
        <v>2602</v>
      </c>
      <c r="E201" s="162" t="s">
        <v>1433</v>
      </c>
      <c r="F201" t="s">
        <v>2274</v>
      </c>
      <c r="G201" s="66" t="s">
        <v>2275</v>
      </c>
    </row>
    <row r="202" spans="1:7" x14ac:dyDescent="0.35">
      <c r="A202">
        <v>1117990944</v>
      </c>
      <c r="B202" t="s">
        <v>2209</v>
      </c>
      <c r="C202" t="s">
        <v>2603</v>
      </c>
      <c r="D202" t="s">
        <v>2604</v>
      </c>
      <c r="E202" s="162" t="s">
        <v>1433</v>
      </c>
      <c r="F202" t="s">
        <v>2274</v>
      </c>
      <c r="G202" s="66" t="s">
        <v>2275</v>
      </c>
    </row>
    <row r="203" spans="1:7" x14ac:dyDescent="0.35">
      <c r="A203">
        <v>1117990944</v>
      </c>
      <c r="B203" t="s">
        <v>2209</v>
      </c>
      <c r="C203" t="s">
        <v>2603</v>
      </c>
      <c r="D203" t="s">
        <v>2605</v>
      </c>
      <c r="E203" s="162" t="s">
        <v>1433</v>
      </c>
      <c r="F203" t="s">
        <v>2274</v>
      </c>
      <c r="G203" s="66" t="s">
        <v>2275</v>
      </c>
    </row>
    <row r="204" spans="1:7" x14ac:dyDescent="0.35">
      <c r="A204">
        <v>1117990944</v>
      </c>
      <c r="B204" t="s">
        <v>2209</v>
      </c>
      <c r="C204" t="s">
        <v>2283</v>
      </c>
      <c r="D204" t="s">
        <v>2284</v>
      </c>
      <c r="E204" s="162" t="s">
        <v>1433</v>
      </c>
      <c r="F204" t="s">
        <v>2274</v>
      </c>
      <c r="G204" s="66" t="s">
        <v>2275</v>
      </c>
    </row>
    <row r="205" spans="1:7" x14ac:dyDescent="0.35">
      <c r="A205">
        <v>1117990944</v>
      </c>
      <c r="B205" t="s">
        <v>2209</v>
      </c>
      <c r="C205" t="s">
        <v>2283</v>
      </c>
      <c r="D205" t="s">
        <v>2606</v>
      </c>
      <c r="E205" s="162" t="s">
        <v>1433</v>
      </c>
      <c r="F205" t="s">
        <v>2274</v>
      </c>
      <c r="G205" s="66" t="s">
        <v>2275</v>
      </c>
    </row>
    <row r="206" spans="1:7" x14ac:dyDescent="0.35">
      <c r="A206">
        <v>1117990944</v>
      </c>
      <c r="B206" t="s">
        <v>2209</v>
      </c>
      <c r="C206" t="s">
        <v>2607</v>
      </c>
      <c r="D206" t="s">
        <v>2287</v>
      </c>
      <c r="E206" s="132" t="s">
        <v>486</v>
      </c>
      <c r="F206" t="s">
        <v>2274</v>
      </c>
      <c r="G206" s="66" t="s">
        <v>2275</v>
      </c>
    </row>
    <row r="207" spans="1:7" x14ac:dyDescent="0.35">
      <c r="A207">
        <v>1117990944</v>
      </c>
      <c r="B207" t="s">
        <v>2209</v>
      </c>
      <c r="C207" t="s">
        <v>2607</v>
      </c>
      <c r="D207" t="s">
        <v>2608</v>
      </c>
      <c r="E207" s="162" t="s">
        <v>1433</v>
      </c>
      <c r="F207" t="s">
        <v>2274</v>
      </c>
      <c r="G207" s="66" t="s">
        <v>2275</v>
      </c>
    </row>
    <row r="208" spans="1:7" x14ac:dyDescent="0.35">
      <c r="A208">
        <v>1117990944</v>
      </c>
      <c r="B208" t="s">
        <v>2209</v>
      </c>
      <c r="C208" t="s">
        <v>2609</v>
      </c>
      <c r="D208" t="s">
        <v>2610</v>
      </c>
      <c r="E208" s="162" t="s">
        <v>1433</v>
      </c>
      <c r="F208" t="s">
        <v>2274</v>
      </c>
      <c r="G208" s="66" t="s">
        <v>2275</v>
      </c>
    </row>
    <row r="209" spans="1:7" x14ac:dyDescent="0.35">
      <c r="A209">
        <v>1117990944</v>
      </c>
      <c r="B209" t="s">
        <v>2209</v>
      </c>
      <c r="C209" t="s">
        <v>2609</v>
      </c>
      <c r="D209" t="s">
        <v>2611</v>
      </c>
      <c r="E209" s="162" t="s">
        <v>1433</v>
      </c>
      <c r="F209" t="s">
        <v>2274</v>
      </c>
      <c r="G209" s="66" t="s">
        <v>2275</v>
      </c>
    </row>
    <row r="210" spans="1:7" x14ac:dyDescent="0.35">
      <c r="A210">
        <v>1117990944</v>
      </c>
      <c r="B210" t="s">
        <v>2209</v>
      </c>
      <c r="C210" t="s">
        <v>2612</v>
      </c>
      <c r="D210" t="s">
        <v>2613</v>
      </c>
      <c r="E210" s="162" t="s">
        <v>1433</v>
      </c>
      <c r="F210" t="s">
        <v>2274</v>
      </c>
      <c r="G210" s="66" t="s">
        <v>2275</v>
      </c>
    </row>
    <row r="211" spans="1:7" x14ac:dyDescent="0.35">
      <c r="A211">
        <v>1117990944</v>
      </c>
      <c r="B211" t="s">
        <v>2209</v>
      </c>
      <c r="C211" t="s">
        <v>2612</v>
      </c>
      <c r="D211" t="s">
        <v>2614</v>
      </c>
      <c r="E211" s="162" t="s">
        <v>1433</v>
      </c>
      <c r="F211" t="s">
        <v>2274</v>
      </c>
      <c r="G211" s="66" t="s">
        <v>2275</v>
      </c>
    </row>
    <row r="212" spans="1:7" x14ac:dyDescent="0.35">
      <c r="A212">
        <v>1117990944</v>
      </c>
      <c r="B212" t="s">
        <v>2209</v>
      </c>
      <c r="C212" t="s">
        <v>2615</v>
      </c>
      <c r="D212" t="s">
        <v>2289</v>
      </c>
      <c r="E212" s="162" t="s">
        <v>1433</v>
      </c>
      <c r="F212" t="s">
        <v>2274</v>
      </c>
      <c r="G212" s="66" t="s">
        <v>2275</v>
      </c>
    </row>
    <row r="213" spans="1:7" x14ac:dyDescent="0.35">
      <c r="A213">
        <v>1117990944</v>
      </c>
      <c r="B213" t="s">
        <v>2209</v>
      </c>
      <c r="C213" t="s">
        <v>2615</v>
      </c>
      <c r="D213" t="s">
        <v>2616</v>
      </c>
      <c r="E213" s="162" t="s">
        <v>1433</v>
      </c>
      <c r="F213" t="s">
        <v>2274</v>
      </c>
      <c r="G213" s="66" t="s">
        <v>2275</v>
      </c>
    </row>
    <row r="214" spans="1:7" x14ac:dyDescent="0.35">
      <c r="A214">
        <v>1117975249</v>
      </c>
      <c r="B214" t="s">
        <v>2251</v>
      </c>
      <c r="C214" t="s">
        <v>2617</v>
      </c>
      <c r="D214" t="s">
        <v>2618</v>
      </c>
      <c r="E214" s="161" t="s">
        <v>1917</v>
      </c>
      <c r="F214" t="s">
        <v>2274</v>
      </c>
      <c r="G214" s="66" t="s">
        <v>2275</v>
      </c>
    </row>
    <row r="215" spans="1:7" x14ac:dyDescent="0.35">
      <c r="A215">
        <v>1117975249</v>
      </c>
      <c r="B215" t="s">
        <v>2251</v>
      </c>
      <c r="C215" t="s">
        <v>2617</v>
      </c>
      <c r="D215" t="s">
        <v>2619</v>
      </c>
      <c r="E215" s="161" t="s">
        <v>1917</v>
      </c>
      <c r="F215" t="s">
        <v>2274</v>
      </c>
      <c r="G215" s="66" t="s">
        <v>2275</v>
      </c>
    </row>
    <row r="216" spans="1:7" x14ac:dyDescent="0.35">
      <c r="A216">
        <v>1117975249</v>
      </c>
      <c r="B216" t="s">
        <v>2251</v>
      </c>
      <c r="C216" t="s">
        <v>2620</v>
      </c>
      <c r="D216" t="s">
        <v>2621</v>
      </c>
      <c r="E216" s="161" t="s">
        <v>1917</v>
      </c>
      <c r="F216" t="s">
        <v>2274</v>
      </c>
      <c r="G216" s="66" t="s">
        <v>2275</v>
      </c>
    </row>
    <row r="217" spans="1:7" x14ac:dyDescent="0.35">
      <c r="A217">
        <v>1117975249</v>
      </c>
      <c r="B217" t="s">
        <v>2251</v>
      </c>
      <c r="C217" t="s">
        <v>2620</v>
      </c>
      <c r="D217" t="s">
        <v>2622</v>
      </c>
      <c r="E217" s="161" t="s">
        <v>1917</v>
      </c>
      <c r="F217" t="s">
        <v>2274</v>
      </c>
      <c r="G217" s="66" t="s">
        <v>2275</v>
      </c>
    </row>
    <row r="218" spans="1:7" x14ac:dyDescent="0.35">
      <c r="A218">
        <v>1117975249</v>
      </c>
      <c r="B218" t="s">
        <v>2251</v>
      </c>
      <c r="C218" t="s">
        <v>2623</v>
      </c>
      <c r="D218" t="s">
        <v>2624</v>
      </c>
      <c r="E218" s="161" t="s">
        <v>1917</v>
      </c>
      <c r="F218" t="s">
        <v>2274</v>
      </c>
      <c r="G218" s="66" t="s">
        <v>2275</v>
      </c>
    </row>
    <row r="219" spans="1:7" x14ac:dyDescent="0.35">
      <c r="A219">
        <v>1117975249</v>
      </c>
      <c r="B219" t="s">
        <v>2251</v>
      </c>
      <c r="C219" t="s">
        <v>2623</v>
      </c>
      <c r="D219" t="s">
        <v>2625</v>
      </c>
      <c r="E219" s="123" t="s">
        <v>1493</v>
      </c>
      <c r="F219" t="s">
        <v>2274</v>
      </c>
      <c r="G219" s="66" t="s">
        <v>2275</v>
      </c>
    </row>
    <row r="220" spans="1:7" x14ac:dyDescent="0.35">
      <c r="A220">
        <v>1117975249</v>
      </c>
      <c r="B220" t="s">
        <v>2251</v>
      </c>
      <c r="C220" t="s">
        <v>2626</v>
      </c>
      <c r="D220" t="s">
        <v>2627</v>
      </c>
      <c r="E220" s="161" t="s">
        <v>1917</v>
      </c>
      <c r="F220" t="s">
        <v>2274</v>
      </c>
      <c r="G220" s="66" t="s">
        <v>2275</v>
      </c>
    </row>
    <row r="221" spans="1:7" x14ac:dyDescent="0.35">
      <c r="A221">
        <v>1117975249</v>
      </c>
      <c r="B221" t="s">
        <v>2251</v>
      </c>
      <c r="C221" t="s">
        <v>2626</v>
      </c>
      <c r="D221" t="s">
        <v>2628</v>
      </c>
      <c r="E221" s="123" t="s">
        <v>1493</v>
      </c>
      <c r="F221" t="s">
        <v>2274</v>
      </c>
      <c r="G221" s="66" t="s">
        <v>2275</v>
      </c>
    </row>
    <row r="222" spans="1:7" x14ac:dyDescent="0.35">
      <c r="A222">
        <v>1117975249</v>
      </c>
      <c r="B222" t="s">
        <v>2251</v>
      </c>
      <c r="C222" t="s">
        <v>2629</v>
      </c>
      <c r="D222" t="s">
        <v>2294</v>
      </c>
      <c r="E222" s="161" t="s">
        <v>1917</v>
      </c>
      <c r="F222" t="s">
        <v>2274</v>
      </c>
      <c r="G222" s="66" t="s">
        <v>2275</v>
      </c>
    </row>
    <row r="223" spans="1:7" x14ac:dyDescent="0.35">
      <c r="A223">
        <v>1117975249</v>
      </c>
      <c r="B223" t="s">
        <v>2251</v>
      </c>
      <c r="C223" t="s">
        <v>2629</v>
      </c>
      <c r="D223" t="s">
        <v>2630</v>
      </c>
      <c r="E223" s="161" t="s">
        <v>1917</v>
      </c>
      <c r="F223" t="s">
        <v>2274</v>
      </c>
      <c r="G223" s="66" t="s">
        <v>2275</v>
      </c>
    </row>
    <row r="224" spans="1:7" x14ac:dyDescent="0.35">
      <c r="A224">
        <v>1117975249</v>
      </c>
      <c r="B224" t="s">
        <v>2251</v>
      </c>
      <c r="C224" t="s">
        <v>2290</v>
      </c>
      <c r="D224" t="s">
        <v>2291</v>
      </c>
      <c r="E224" s="65" t="s">
        <v>2278</v>
      </c>
      <c r="F224" t="s">
        <v>2274</v>
      </c>
      <c r="G224" s="66" t="s">
        <v>2275</v>
      </c>
    </row>
    <row r="225" spans="1:7" x14ac:dyDescent="0.35">
      <c r="A225">
        <v>1117975249</v>
      </c>
      <c r="B225" t="s">
        <v>2251</v>
      </c>
      <c r="C225" t="s">
        <v>2290</v>
      </c>
      <c r="D225" t="s">
        <v>2292</v>
      </c>
      <c r="E225" s="161" t="s">
        <v>1917</v>
      </c>
      <c r="F225" t="s">
        <v>2274</v>
      </c>
      <c r="G225" s="66" t="s">
        <v>2275</v>
      </c>
    </row>
    <row r="226" spans="1:7" x14ac:dyDescent="0.35">
      <c r="A226">
        <v>1117975249</v>
      </c>
      <c r="B226" t="s">
        <v>2251</v>
      </c>
      <c r="C226" t="s">
        <v>2290</v>
      </c>
      <c r="D226" t="s">
        <v>2631</v>
      </c>
      <c r="E226" s="162" t="s">
        <v>1433</v>
      </c>
      <c r="F226" t="s">
        <v>2274</v>
      </c>
      <c r="G226" s="66" t="s">
        <v>2275</v>
      </c>
    </row>
    <row r="227" spans="1:7" x14ac:dyDescent="0.35">
      <c r="A227">
        <v>1117975249</v>
      </c>
      <c r="B227" t="s">
        <v>2251</v>
      </c>
      <c r="C227" t="s">
        <v>2632</v>
      </c>
      <c r="D227" t="s">
        <v>1872</v>
      </c>
      <c r="E227" s="161" t="s">
        <v>1917</v>
      </c>
      <c r="F227" t="s">
        <v>2274</v>
      </c>
      <c r="G227" s="66" t="s">
        <v>2275</v>
      </c>
    </row>
    <row r="228" spans="1:7" x14ac:dyDescent="0.35">
      <c r="A228">
        <v>1117975249</v>
      </c>
      <c r="B228" t="s">
        <v>2251</v>
      </c>
      <c r="C228" t="s">
        <v>2632</v>
      </c>
      <c r="D228" t="s">
        <v>2633</v>
      </c>
      <c r="E228" s="161" t="s">
        <v>1917</v>
      </c>
      <c r="F228" t="s">
        <v>2274</v>
      </c>
      <c r="G228" s="66" t="s">
        <v>2275</v>
      </c>
    </row>
    <row r="229" spans="1:7" x14ac:dyDescent="0.35">
      <c r="A229">
        <v>1117975249</v>
      </c>
      <c r="B229" t="s">
        <v>2251</v>
      </c>
      <c r="C229" t="s">
        <v>2295</v>
      </c>
      <c r="D229" t="s">
        <v>2296</v>
      </c>
      <c r="E229" s="162" t="s">
        <v>1433</v>
      </c>
      <c r="F229" t="s">
        <v>2274</v>
      </c>
      <c r="G229" s="66" t="s">
        <v>2275</v>
      </c>
    </row>
    <row r="230" spans="1:7" x14ac:dyDescent="0.35">
      <c r="A230">
        <v>1117975249</v>
      </c>
      <c r="B230" t="s">
        <v>2251</v>
      </c>
      <c r="C230" t="s">
        <v>2295</v>
      </c>
      <c r="D230" t="s">
        <v>2634</v>
      </c>
      <c r="E230" s="161" t="s">
        <v>1917</v>
      </c>
      <c r="F230" t="s">
        <v>2274</v>
      </c>
      <c r="G230" s="66" t="s">
        <v>2275</v>
      </c>
    </row>
    <row r="231" spans="1:7" x14ac:dyDescent="0.35">
      <c r="A231">
        <v>1117977340</v>
      </c>
      <c r="B231" t="s">
        <v>2252</v>
      </c>
      <c r="C231" t="s">
        <v>2635</v>
      </c>
      <c r="D231" t="s">
        <v>2586</v>
      </c>
      <c r="E231" s="162" t="s">
        <v>1433</v>
      </c>
      <c r="F231" t="s">
        <v>2274</v>
      </c>
      <c r="G231" s="66" t="s">
        <v>2275</v>
      </c>
    </row>
    <row r="232" spans="1:7" x14ac:dyDescent="0.35">
      <c r="A232">
        <v>1117977340</v>
      </c>
      <c r="B232" t="s">
        <v>2252</v>
      </c>
      <c r="C232" t="s">
        <v>2635</v>
      </c>
      <c r="D232" t="s">
        <v>2636</v>
      </c>
      <c r="E232" s="162" t="s">
        <v>1433</v>
      </c>
      <c r="F232" t="s">
        <v>2274</v>
      </c>
      <c r="G232" s="66" t="s">
        <v>2275</v>
      </c>
    </row>
    <row r="233" spans="1:7" x14ac:dyDescent="0.35">
      <c r="A233">
        <v>1117977340</v>
      </c>
      <c r="B233" t="s">
        <v>2252</v>
      </c>
      <c r="C233" t="s">
        <v>2635</v>
      </c>
      <c r="D233" t="s">
        <v>2637</v>
      </c>
      <c r="E233" s="162" t="s">
        <v>1433</v>
      </c>
      <c r="F233" t="s">
        <v>2274</v>
      </c>
      <c r="G233" s="66" t="s">
        <v>2275</v>
      </c>
    </row>
    <row r="234" spans="1:7" x14ac:dyDescent="0.35">
      <c r="A234">
        <v>1117977340</v>
      </c>
      <c r="B234" t="s">
        <v>2252</v>
      </c>
      <c r="C234" t="s">
        <v>2638</v>
      </c>
      <c r="D234" t="s">
        <v>1482</v>
      </c>
      <c r="E234" s="65" t="s">
        <v>2278</v>
      </c>
      <c r="F234" t="s">
        <v>2299</v>
      </c>
      <c r="G234" s="164" t="s">
        <v>2300</v>
      </c>
    </row>
    <row r="235" spans="1:7" x14ac:dyDescent="0.35">
      <c r="A235">
        <v>1117977340</v>
      </c>
      <c r="B235" t="s">
        <v>2252</v>
      </c>
      <c r="C235" t="s">
        <v>2638</v>
      </c>
      <c r="D235" t="s">
        <v>2639</v>
      </c>
      <c r="E235" s="162" t="s">
        <v>1433</v>
      </c>
      <c r="F235" t="s">
        <v>2274</v>
      </c>
      <c r="G235" s="66" t="s">
        <v>2275</v>
      </c>
    </row>
    <row r="236" spans="1:7" x14ac:dyDescent="0.35">
      <c r="A236">
        <v>1117977340</v>
      </c>
      <c r="B236" t="s">
        <v>2252</v>
      </c>
      <c r="C236" t="s">
        <v>2638</v>
      </c>
      <c r="D236" t="s">
        <v>2640</v>
      </c>
      <c r="E236" s="162" t="s">
        <v>1433</v>
      </c>
      <c r="F236" t="s">
        <v>2274</v>
      </c>
      <c r="G236" s="66" t="s">
        <v>2275</v>
      </c>
    </row>
    <row r="237" spans="1:7" x14ac:dyDescent="0.35">
      <c r="A237">
        <v>1117977340</v>
      </c>
      <c r="B237" t="s">
        <v>2252</v>
      </c>
      <c r="C237" t="s">
        <v>2641</v>
      </c>
      <c r="D237" t="s">
        <v>2376</v>
      </c>
      <c r="E237" s="162" t="s">
        <v>1433</v>
      </c>
      <c r="F237" t="s">
        <v>2274</v>
      </c>
      <c r="G237" s="66" t="s">
        <v>2275</v>
      </c>
    </row>
    <row r="238" spans="1:7" x14ac:dyDescent="0.35">
      <c r="A238">
        <v>1117977340</v>
      </c>
      <c r="B238" t="s">
        <v>2252</v>
      </c>
      <c r="C238" t="s">
        <v>2641</v>
      </c>
      <c r="D238" t="s">
        <v>2642</v>
      </c>
      <c r="E238" s="162" t="s">
        <v>1433</v>
      </c>
      <c r="F238" t="s">
        <v>2274</v>
      </c>
      <c r="G238" s="66" t="s">
        <v>2275</v>
      </c>
    </row>
    <row r="239" spans="1:7" x14ac:dyDescent="0.35">
      <c r="A239">
        <v>1117977340</v>
      </c>
      <c r="B239" t="s">
        <v>2252</v>
      </c>
      <c r="C239" t="s">
        <v>2643</v>
      </c>
      <c r="D239" t="s">
        <v>2644</v>
      </c>
      <c r="E239" s="162" t="s">
        <v>1433</v>
      </c>
      <c r="F239" t="s">
        <v>2274</v>
      </c>
      <c r="G239" s="66" t="s">
        <v>2275</v>
      </c>
    </row>
    <row r="240" spans="1:7" x14ac:dyDescent="0.35">
      <c r="A240">
        <v>1117977340</v>
      </c>
      <c r="B240" t="s">
        <v>2252</v>
      </c>
      <c r="C240" t="s">
        <v>2643</v>
      </c>
      <c r="D240" t="s">
        <v>2645</v>
      </c>
      <c r="E240" s="65" t="s">
        <v>2278</v>
      </c>
      <c r="F240" t="s">
        <v>2274</v>
      </c>
      <c r="G240" s="66" t="s">
        <v>2275</v>
      </c>
    </row>
    <row r="241" spans="1:7" x14ac:dyDescent="0.35">
      <c r="A241">
        <v>1117977340</v>
      </c>
      <c r="B241" t="s">
        <v>2252</v>
      </c>
      <c r="C241" t="s">
        <v>2646</v>
      </c>
      <c r="D241" t="s">
        <v>2647</v>
      </c>
      <c r="E241" s="166" t="s">
        <v>1922</v>
      </c>
      <c r="F241" t="s">
        <v>2274</v>
      </c>
      <c r="G241" s="66" t="s">
        <v>2275</v>
      </c>
    </row>
    <row r="242" spans="1:7" x14ac:dyDescent="0.35">
      <c r="A242">
        <v>1117977340</v>
      </c>
      <c r="B242" t="s">
        <v>2252</v>
      </c>
      <c r="C242" t="s">
        <v>2646</v>
      </c>
      <c r="D242" t="s">
        <v>2648</v>
      </c>
      <c r="E242" s="162" t="s">
        <v>1433</v>
      </c>
      <c r="F242" t="s">
        <v>2274</v>
      </c>
      <c r="G242" s="66" t="s">
        <v>2275</v>
      </c>
    </row>
    <row r="243" spans="1:7" x14ac:dyDescent="0.35">
      <c r="A243">
        <v>1117977340</v>
      </c>
      <c r="B243" t="s">
        <v>2252</v>
      </c>
      <c r="C243" t="s">
        <v>2649</v>
      </c>
      <c r="D243" t="s">
        <v>2650</v>
      </c>
      <c r="E243" s="162" t="s">
        <v>1433</v>
      </c>
      <c r="F243" t="s">
        <v>2274</v>
      </c>
      <c r="G243" s="66" t="s">
        <v>2275</v>
      </c>
    </row>
    <row r="244" spans="1:7" x14ac:dyDescent="0.35">
      <c r="A244">
        <v>1117977340</v>
      </c>
      <c r="B244" t="s">
        <v>2252</v>
      </c>
      <c r="C244" t="s">
        <v>2649</v>
      </c>
      <c r="D244" t="s">
        <v>2651</v>
      </c>
      <c r="E244" s="162" t="s">
        <v>1433</v>
      </c>
      <c r="F244" t="s">
        <v>2274</v>
      </c>
      <c r="G244" s="66" t="s">
        <v>2275</v>
      </c>
    </row>
    <row r="245" spans="1:7" x14ac:dyDescent="0.35">
      <c r="A245">
        <v>1117977340</v>
      </c>
      <c r="B245" t="s">
        <v>2252</v>
      </c>
      <c r="C245" t="s">
        <v>2652</v>
      </c>
      <c r="D245" t="s">
        <v>2653</v>
      </c>
      <c r="E245" s="162" t="s">
        <v>1433</v>
      </c>
      <c r="F245" t="s">
        <v>2274</v>
      </c>
      <c r="G245" s="66" t="s">
        <v>2275</v>
      </c>
    </row>
    <row r="246" spans="1:7" x14ac:dyDescent="0.35">
      <c r="A246">
        <v>1117977340</v>
      </c>
      <c r="B246" t="s">
        <v>2252</v>
      </c>
      <c r="C246" t="s">
        <v>2652</v>
      </c>
      <c r="D246" t="s">
        <v>2654</v>
      </c>
      <c r="E246" s="162" t="s">
        <v>1433</v>
      </c>
      <c r="F246" t="s">
        <v>2274</v>
      </c>
      <c r="G246" s="66" t="s">
        <v>2275</v>
      </c>
    </row>
    <row r="247" spans="1:7" x14ac:dyDescent="0.35">
      <c r="A247">
        <v>1117977340</v>
      </c>
      <c r="B247" t="s">
        <v>2252</v>
      </c>
      <c r="C247" t="s">
        <v>2655</v>
      </c>
      <c r="D247" t="s">
        <v>1574</v>
      </c>
      <c r="E247" s="65" t="s">
        <v>2278</v>
      </c>
      <c r="F247" t="s">
        <v>2274</v>
      </c>
      <c r="G247" s="66" t="s">
        <v>2275</v>
      </c>
    </row>
    <row r="248" spans="1:7" x14ac:dyDescent="0.35">
      <c r="A248">
        <v>1117977340</v>
      </c>
      <c r="B248" t="s">
        <v>2252</v>
      </c>
      <c r="C248" t="s">
        <v>2655</v>
      </c>
      <c r="D248" t="s">
        <v>2656</v>
      </c>
      <c r="E248" s="162" t="s">
        <v>1433</v>
      </c>
      <c r="F248" t="s">
        <v>2274</v>
      </c>
      <c r="G248" s="66" t="s">
        <v>2275</v>
      </c>
    </row>
    <row r="249" spans="1:7" x14ac:dyDescent="0.35">
      <c r="A249">
        <v>1117977340</v>
      </c>
      <c r="B249" t="s">
        <v>2252</v>
      </c>
      <c r="C249" t="s">
        <v>2657</v>
      </c>
      <c r="D249" t="s">
        <v>2658</v>
      </c>
      <c r="E249" s="161" t="s">
        <v>1917</v>
      </c>
      <c r="F249" t="s">
        <v>2274</v>
      </c>
      <c r="G249" s="66" t="s">
        <v>2275</v>
      </c>
    </row>
    <row r="250" spans="1:7" x14ac:dyDescent="0.35">
      <c r="A250">
        <v>1117977340</v>
      </c>
      <c r="B250" t="s">
        <v>2252</v>
      </c>
      <c r="C250" t="s">
        <v>2657</v>
      </c>
      <c r="D250" t="s">
        <v>2659</v>
      </c>
      <c r="E250" s="162" t="s">
        <v>1433</v>
      </c>
      <c r="F250" t="s">
        <v>2274</v>
      </c>
      <c r="G250" s="66" t="s">
        <v>2275</v>
      </c>
    </row>
    <row r="251" spans="1:7" x14ac:dyDescent="0.35">
      <c r="A251">
        <v>1118000814</v>
      </c>
      <c r="B251" t="s">
        <v>2253</v>
      </c>
      <c r="C251" t="s">
        <v>2660</v>
      </c>
      <c r="D251" t="s">
        <v>2661</v>
      </c>
      <c r="E251" s="65" t="s">
        <v>2278</v>
      </c>
      <c r="F251" t="s">
        <v>2274</v>
      </c>
      <c r="G251" s="66" t="s">
        <v>2275</v>
      </c>
    </row>
    <row r="252" spans="1:7" x14ac:dyDescent="0.35">
      <c r="A252">
        <v>1118000814</v>
      </c>
      <c r="B252" t="s">
        <v>2253</v>
      </c>
      <c r="C252" t="s">
        <v>2660</v>
      </c>
      <c r="D252" t="s">
        <v>2662</v>
      </c>
      <c r="E252" s="65" t="s">
        <v>2278</v>
      </c>
      <c r="F252" t="s">
        <v>2274</v>
      </c>
      <c r="G252" s="66" t="s">
        <v>2275</v>
      </c>
    </row>
    <row r="253" spans="1:7" x14ac:dyDescent="0.35">
      <c r="A253">
        <v>1118000814</v>
      </c>
      <c r="B253" t="s">
        <v>2253</v>
      </c>
      <c r="C253" t="s">
        <v>2298</v>
      </c>
      <c r="D253" t="s">
        <v>1435</v>
      </c>
      <c r="E253" s="65" t="s">
        <v>2278</v>
      </c>
      <c r="F253" t="s">
        <v>2299</v>
      </c>
      <c r="G253" s="164" t="s">
        <v>2300</v>
      </c>
    </row>
    <row r="254" spans="1:7" x14ac:dyDescent="0.35">
      <c r="A254">
        <v>1118000814</v>
      </c>
      <c r="B254" t="s">
        <v>2253</v>
      </c>
      <c r="C254" t="s">
        <v>2298</v>
      </c>
      <c r="D254" t="s">
        <v>2663</v>
      </c>
      <c r="E254" s="65" t="s">
        <v>2278</v>
      </c>
      <c r="F254" t="s">
        <v>2274</v>
      </c>
      <c r="G254" s="66" t="s">
        <v>2275</v>
      </c>
    </row>
    <row r="255" spans="1:7" x14ac:dyDescent="0.35">
      <c r="A255">
        <v>1118000814</v>
      </c>
      <c r="B255" t="s">
        <v>2253</v>
      </c>
      <c r="C255" t="s">
        <v>2298</v>
      </c>
      <c r="D255" t="s">
        <v>2664</v>
      </c>
      <c r="E255" s="162" t="s">
        <v>1433</v>
      </c>
      <c r="F255" t="s">
        <v>2274</v>
      </c>
      <c r="G255" s="66" t="s">
        <v>2275</v>
      </c>
    </row>
    <row r="256" spans="1:7" x14ac:dyDescent="0.35">
      <c r="A256">
        <v>1118000814</v>
      </c>
      <c r="B256" t="s">
        <v>2253</v>
      </c>
      <c r="C256" t="s">
        <v>2665</v>
      </c>
      <c r="D256" t="s">
        <v>2666</v>
      </c>
      <c r="E256" s="162" t="s">
        <v>1433</v>
      </c>
      <c r="F256" t="s">
        <v>2274</v>
      </c>
      <c r="G256" s="66" t="s">
        <v>2275</v>
      </c>
    </row>
    <row r="257" spans="1:7" x14ac:dyDescent="0.35">
      <c r="A257">
        <v>1118000814</v>
      </c>
      <c r="B257" t="s">
        <v>2253</v>
      </c>
      <c r="C257" t="s">
        <v>2665</v>
      </c>
      <c r="D257" t="s">
        <v>2457</v>
      </c>
      <c r="E257" s="162" t="s">
        <v>1433</v>
      </c>
      <c r="F257" t="s">
        <v>2274</v>
      </c>
      <c r="G257" s="66" t="s">
        <v>2275</v>
      </c>
    </row>
    <row r="258" spans="1:7" x14ac:dyDescent="0.35">
      <c r="A258">
        <v>1118000814</v>
      </c>
      <c r="B258" t="s">
        <v>2253</v>
      </c>
      <c r="C258" t="s">
        <v>2301</v>
      </c>
      <c r="D258" t="s">
        <v>2302</v>
      </c>
      <c r="E258" s="65" t="s">
        <v>2278</v>
      </c>
      <c r="F258" t="s">
        <v>2274</v>
      </c>
      <c r="G258" s="66" t="s">
        <v>2275</v>
      </c>
    </row>
    <row r="259" spans="1:7" x14ac:dyDescent="0.35">
      <c r="A259">
        <v>1118000814</v>
      </c>
      <c r="B259" t="s">
        <v>2253</v>
      </c>
      <c r="C259" t="s">
        <v>2301</v>
      </c>
      <c r="D259" t="s">
        <v>2667</v>
      </c>
      <c r="E259" s="65" t="s">
        <v>2278</v>
      </c>
      <c r="F259" t="s">
        <v>2274</v>
      </c>
      <c r="G259" s="66" t="s">
        <v>2275</v>
      </c>
    </row>
    <row r="260" spans="1:7" x14ac:dyDescent="0.35">
      <c r="A260">
        <v>1118000814</v>
      </c>
      <c r="B260" t="s">
        <v>2253</v>
      </c>
      <c r="C260" t="s">
        <v>2303</v>
      </c>
      <c r="D260" t="s">
        <v>2304</v>
      </c>
      <c r="E260" s="162" t="s">
        <v>1433</v>
      </c>
      <c r="F260" t="s">
        <v>2274</v>
      </c>
      <c r="G260" s="66" t="s">
        <v>2275</v>
      </c>
    </row>
    <row r="261" spans="1:7" x14ac:dyDescent="0.35">
      <c r="A261">
        <v>1118000814</v>
      </c>
      <c r="B261" t="s">
        <v>2253</v>
      </c>
      <c r="C261" t="s">
        <v>2303</v>
      </c>
      <c r="D261" t="s">
        <v>2668</v>
      </c>
      <c r="E261" s="162" t="s">
        <v>1433</v>
      </c>
      <c r="F261" t="s">
        <v>2274</v>
      </c>
      <c r="G261" s="66" t="s">
        <v>2275</v>
      </c>
    </row>
    <row r="262" spans="1:7" x14ac:dyDescent="0.35">
      <c r="A262">
        <v>1118000814</v>
      </c>
      <c r="B262" t="s">
        <v>2253</v>
      </c>
      <c r="C262" t="s">
        <v>2305</v>
      </c>
      <c r="D262" t="s">
        <v>1717</v>
      </c>
      <c r="E262" s="65" t="s">
        <v>2278</v>
      </c>
      <c r="F262" t="s">
        <v>2274</v>
      </c>
      <c r="G262" s="66" t="s">
        <v>2275</v>
      </c>
    </row>
    <row r="263" spans="1:7" x14ac:dyDescent="0.35">
      <c r="A263">
        <v>1118000814</v>
      </c>
      <c r="B263" t="s">
        <v>2253</v>
      </c>
      <c r="C263" t="s">
        <v>2305</v>
      </c>
      <c r="D263" t="s">
        <v>2669</v>
      </c>
      <c r="E263" s="162" t="s">
        <v>1433</v>
      </c>
      <c r="F263" t="s">
        <v>2274</v>
      </c>
      <c r="G263" s="66" t="s">
        <v>2275</v>
      </c>
    </row>
    <row r="264" spans="1:7" x14ac:dyDescent="0.35">
      <c r="A264">
        <v>1118000814</v>
      </c>
      <c r="B264" t="s">
        <v>2253</v>
      </c>
      <c r="C264" t="s">
        <v>2670</v>
      </c>
      <c r="D264" t="s">
        <v>2671</v>
      </c>
      <c r="E264" s="162" t="s">
        <v>1433</v>
      </c>
      <c r="F264" t="s">
        <v>2274</v>
      </c>
      <c r="G264" s="66" t="s">
        <v>2275</v>
      </c>
    </row>
    <row r="265" spans="1:7" x14ac:dyDescent="0.35">
      <c r="A265">
        <v>1118000814</v>
      </c>
      <c r="B265" t="s">
        <v>2253</v>
      </c>
      <c r="C265" t="s">
        <v>2670</v>
      </c>
      <c r="D265" t="s">
        <v>2672</v>
      </c>
      <c r="E265" s="162" t="s">
        <v>1433</v>
      </c>
      <c r="F265" t="s">
        <v>2274</v>
      </c>
      <c r="G265" s="66" t="s">
        <v>2275</v>
      </c>
    </row>
    <row r="266" spans="1:7" x14ac:dyDescent="0.35">
      <c r="A266">
        <v>1118000814</v>
      </c>
      <c r="B266" t="s">
        <v>2253</v>
      </c>
      <c r="C266" t="s">
        <v>2673</v>
      </c>
      <c r="D266" t="s">
        <v>2674</v>
      </c>
      <c r="E266" s="162" t="s">
        <v>1433</v>
      </c>
      <c r="F266" t="s">
        <v>2274</v>
      </c>
      <c r="G266" s="66" t="s">
        <v>2275</v>
      </c>
    </row>
    <row r="267" spans="1:7" x14ac:dyDescent="0.35">
      <c r="A267">
        <v>1118000814</v>
      </c>
      <c r="B267" t="s">
        <v>2253</v>
      </c>
      <c r="C267" t="s">
        <v>2673</v>
      </c>
      <c r="D267" t="s">
        <v>2675</v>
      </c>
      <c r="E267" s="162" t="s">
        <v>1433</v>
      </c>
      <c r="F267" t="s">
        <v>2274</v>
      </c>
      <c r="G267" s="66" t="s">
        <v>2275</v>
      </c>
    </row>
    <row r="268" spans="1:7" x14ac:dyDescent="0.35">
      <c r="A268">
        <v>1118009703</v>
      </c>
      <c r="B268" t="s">
        <v>2256</v>
      </c>
      <c r="C268" t="s">
        <v>2676</v>
      </c>
      <c r="D268" t="s">
        <v>2677</v>
      </c>
      <c r="E268" s="162" t="s">
        <v>1433</v>
      </c>
      <c r="F268" t="s">
        <v>2274</v>
      </c>
      <c r="G268" s="66" t="s">
        <v>2275</v>
      </c>
    </row>
    <row r="269" spans="1:7" x14ac:dyDescent="0.35">
      <c r="A269">
        <v>1118009703</v>
      </c>
      <c r="B269" t="s">
        <v>2256</v>
      </c>
      <c r="C269" t="s">
        <v>2676</v>
      </c>
      <c r="D269" t="s">
        <v>2678</v>
      </c>
      <c r="E269" s="162" t="s">
        <v>1433</v>
      </c>
      <c r="F269" t="s">
        <v>2274</v>
      </c>
      <c r="G269" s="66" t="s">
        <v>2275</v>
      </c>
    </row>
    <row r="270" spans="1:7" x14ac:dyDescent="0.35">
      <c r="A270">
        <v>1118009703</v>
      </c>
      <c r="B270" t="s">
        <v>2256</v>
      </c>
      <c r="C270" t="s">
        <v>2679</v>
      </c>
      <c r="D270" t="s">
        <v>2680</v>
      </c>
      <c r="E270" s="162" t="s">
        <v>1433</v>
      </c>
      <c r="F270" t="s">
        <v>2274</v>
      </c>
      <c r="G270" s="66" t="s">
        <v>2275</v>
      </c>
    </row>
    <row r="271" spans="1:7" x14ac:dyDescent="0.35">
      <c r="A271">
        <v>1118009703</v>
      </c>
      <c r="B271" t="s">
        <v>2256</v>
      </c>
      <c r="C271" t="s">
        <v>2679</v>
      </c>
      <c r="D271" t="s">
        <v>2681</v>
      </c>
      <c r="E271" s="162" t="s">
        <v>1433</v>
      </c>
      <c r="F271" t="s">
        <v>2274</v>
      </c>
      <c r="G271" s="66" t="s">
        <v>2275</v>
      </c>
    </row>
    <row r="272" spans="1:7" x14ac:dyDescent="0.35">
      <c r="A272">
        <v>1118009703</v>
      </c>
      <c r="B272" t="s">
        <v>2256</v>
      </c>
      <c r="C272" t="s">
        <v>2682</v>
      </c>
      <c r="D272" t="s">
        <v>1695</v>
      </c>
      <c r="E272" s="65" t="s">
        <v>2278</v>
      </c>
      <c r="F272" t="s">
        <v>2274</v>
      </c>
      <c r="G272" s="66" t="s">
        <v>2275</v>
      </c>
    </row>
    <row r="273" spans="1:7" x14ac:dyDescent="0.35">
      <c r="A273">
        <v>1118009703</v>
      </c>
      <c r="B273" t="s">
        <v>2256</v>
      </c>
      <c r="C273" t="s">
        <v>2682</v>
      </c>
      <c r="D273" t="s">
        <v>2683</v>
      </c>
      <c r="E273" s="162" t="s">
        <v>1433</v>
      </c>
      <c r="F273" t="s">
        <v>2274</v>
      </c>
      <c r="G273" s="66" t="s">
        <v>2275</v>
      </c>
    </row>
    <row r="274" spans="1:7" x14ac:dyDescent="0.35">
      <c r="A274">
        <v>1118009703</v>
      </c>
      <c r="B274" t="s">
        <v>2256</v>
      </c>
      <c r="C274" t="s">
        <v>2682</v>
      </c>
      <c r="D274" t="s">
        <v>2684</v>
      </c>
      <c r="E274" s="65" t="s">
        <v>2278</v>
      </c>
      <c r="F274" t="s">
        <v>2274</v>
      </c>
      <c r="G274" s="66" t="s">
        <v>2275</v>
      </c>
    </row>
    <row r="275" spans="1:7" x14ac:dyDescent="0.35">
      <c r="A275">
        <v>1118009703</v>
      </c>
      <c r="B275" t="s">
        <v>2256</v>
      </c>
      <c r="C275" t="s">
        <v>2685</v>
      </c>
      <c r="D275" t="s">
        <v>2686</v>
      </c>
      <c r="E275" s="65" t="s">
        <v>2278</v>
      </c>
      <c r="F275" t="s">
        <v>2299</v>
      </c>
      <c r="G275" s="164" t="s">
        <v>2300</v>
      </c>
    </row>
    <row r="276" spans="1:7" x14ac:dyDescent="0.35">
      <c r="A276">
        <v>1118009703</v>
      </c>
      <c r="B276" t="s">
        <v>2256</v>
      </c>
      <c r="C276" t="s">
        <v>2685</v>
      </c>
      <c r="D276" t="s">
        <v>2687</v>
      </c>
      <c r="E276" s="65" t="s">
        <v>2278</v>
      </c>
      <c r="F276" t="s">
        <v>2274</v>
      </c>
      <c r="G276" s="66" t="s">
        <v>2275</v>
      </c>
    </row>
    <row r="277" spans="1:7" x14ac:dyDescent="0.35">
      <c r="A277">
        <v>1118009703</v>
      </c>
      <c r="B277" t="s">
        <v>2256</v>
      </c>
      <c r="C277" t="s">
        <v>2688</v>
      </c>
      <c r="D277" t="s">
        <v>2689</v>
      </c>
      <c r="E277" s="65" t="s">
        <v>2278</v>
      </c>
      <c r="F277" t="s">
        <v>2274</v>
      </c>
      <c r="G277" s="66" t="s">
        <v>2275</v>
      </c>
    </row>
    <row r="278" spans="1:7" x14ac:dyDescent="0.35">
      <c r="A278">
        <v>1118009703</v>
      </c>
      <c r="B278" t="s">
        <v>2256</v>
      </c>
      <c r="C278" t="s">
        <v>2688</v>
      </c>
      <c r="D278" t="s">
        <v>2690</v>
      </c>
      <c r="E278" s="65" t="s">
        <v>2278</v>
      </c>
      <c r="F278" t="s">
        <v>2274</v>
      </c>
      <c r="G278" s="66" t="s">
        <v>2275</v>
      </c>
    </row>
    <row r="279" spans="1:7" x14ac:dyDescent="0.35">
      <c r="A279">
        <v>1118009703</v>
      </c>
      <c r="B279" t="s">
        <v>2256</v>
      </c>
      <c r="C279" t="s">
        <v>2688</v>
      </c>
      <c r="D279" t="s">
        <v>2691</v>
      </c>
      <c r="E279" s="161" t="s">
        <v>1917</v>
      </c>
      <c r="F279" t="s">
        <v>2274</v>
      </c>
      <c r="G279" s="66" t="s">
        <v>2275</v>
      </c>
    </row>
    <row r="280" spans="1:7" x14ac:dyDescent="0.35">
      <c r="A280">
        <v>1118009703</v>
      </c>
      <c r="B280" t="s">
        <v>2256</v>
      </c>
      <c r="C280" t="s">
        <v>2692</v>
      </c>
      <c r="D280" t="s">
        <v>1623</v>
      </c>
      <c r="E280" s="65" t="s">
        <v>2278</v>
      </c>
      <c r="F280" t="s">
        <v>2299</v>
      </c>
      <c r="G280" s="164" t="s">
        <v>2300</v>
      </c>
    </row>
    <row r="281" spans="1:7" x14ac:dyDescent="0.35">
      <c r="A281">
        <v>1118009703</v>
      </c>
      <c r="B281" t="s">
        <v>2256</v>
      </c>
      <c r="C281" t="s">
        <v>2692</v>
      </c>
      <c r="D281" t="s">
        <v>2693</v>
      </c>
      <c r="E281" s="162" t="s">
        <v>1433</v>
      </c>
      <c r="F281" t="s">
        <v>2274</v>
      </c>
      <c r="G281" s="66" t="s">
        <v>2275</v>
      </c>
    </row>
    <row r="282" spans="1:7" x14ac:dyDescent="0.35">
      <c r="A282">
        <v>2170124</v>
      </c>
      <c r="B282" t="s">
        <v>633</v>
      </c>
      <c r="C282" t="s">
        <v>2694</v>
      </c>
      <c r="D282" t="s">
        <v>2695</v>
      </c>
      <c r="E282" s="162" t="s">
        <v>1433</v>
      </c>
      <c r="F282" t="s">
        <v>2274</v>
      </c>
      <c r="G282" s="66" t="s">
        <v>2275</v>
      </c>
    </row>
    <row r="283" spans="1:7" x14ac:dyDescent="0.35">
      <c r="A283">
        <v>2170124</v>
      </c>
      <c r="B283" t="s">
        <v>633</v>
      </c>
      <c r="C283" t="s">
        <v>2694</v>
      </c>
      <c r="D283" t="s">
        <v>2696</v>
      </c>
      <c r="E283" s="162" t="s">
        <v>1433</v>
      </c>
      <c r="F283" t="s">
        <v>2274</v>
      </c>
      <c r="G283" s="66" t="s">
        <v>2275</v>
      </c>
    </row>
    <row r="284" spans="1:7" x14ac:dyDescent="0.35">
      <c r="A284">
        <v>2170124</v>
      </c>
      <c r="B284" t="s">
        <v>633</v>
      </c>
      <c r="C284" t="s">
        <v>2694</v>
      </c>
      <c r="D284" t="s">
        <v>2697</v>
      </c>
      <c r="E284" s="65" t="s">
        <v>2278</v>
      </c>
      <c r="F284" t="s">
        <v>2299</v>
      </c>
      <c r="G284" s="164" t="s">
        <v>2300</v>
      </c>
    </row>
    <row r="285" spans="1:7" x14ac:dyDescent="0.35">
      <c r="A285">
        <v>2170124</v>
      </c>
      <c r="B285" t="s">
        <v>633</v>
      </c>
      <c r="C285" t="s">
        <v>2698</v>
      </c>
      <c r="D285" t="s">
        <v>2699</v>
      </c>
      <c r="E285" s="162" t="s">
        <v>1433</v>
      </c>
      <c r="F285" t="s">
        <v>2274</v>
      </c>
      <c r="G285" s="66" t="s">
        <v>2275</v>
      </c>
    </row>
    <row r="286" spans="1:7" x14ac:dyDescent="0.35">
      <c r="A286">
        <v>2170124</v>
      </c>
      <c r="B286" t="s">
        <v>633</v>
      </c>
      <c r="C286" t="s">
        <v>2698</v>
      </c>
      <c r="D286" t="s">
        <v>2700</v>
      </c>
      <c r="E286" s="162" t="s">
        <v>1433</v>
      </c>
      <c r="F286" t="s">
        <v>2274</v>
      </c>
      <c r="G286" s="66" t="s">
        <v>2275</v>
      </c>
    </row>
    <row r="287" spans="1:7" x14ac:dyDescent="0.35">
      <c r="A287">
        <v>2170124</v>
      </c>
      <c r="B287" t="s">
        <v>633</v>
      </c>
      <c r="C287" t="s">
        <v>2698</v>
      </c>
      <c r="D287" t="s">
        <v>2701</v>
      </c>
      <c r="E287" s="162" t="s">
        <v>1433</v>
      </c>
      <c r="F287" t="s">
        <v>2274</v>
      </c>
      <c r="G287" s="66" t="s">
        <v>2275</v>
      </c>
    </row>
    <row r="288" spans="1:7" x14ac:dyDescent="0.35">
      <c r="A288">
        <v>2170124</v>
      </c>
      <c r="B288" t="s">
        <v>633</v>
      </c>
      <c r="C288" t="s">
        <v>2702</v>
      </c>
      <c r="D288" t="s">
        <v>2703</v>
      </c>
      <c r="E288" s="162" t="s">
        <v>1433</v>
      </c>
      <c r="F288" t="s">
        <v>2274</v>
      </c>
      <c r="G288" s="66" t="s">
        <v>2275</v>
      </c>
    </row>
    <row r="289" spans="1:7" x14ac:dyDescent="0.35">
      <c r="A289">
        <v>2170124</v>
      </c>
      <c r="B289" t="s">
        <v>633</v>
      </c>
      <c r="C289" t="s">
        <v>2702</v>
      </c>
      <c r="D289" t="s">
        <v>2704</v>
      </c>
      <c r="E289" s="162" t="s">
        <v>1433</v>
      </c>
      <c r="F289" t="s">
        <v>2274</v>
      </c>
      <c r="G289" s="66" t="s">
        <v>2275</v>
      </c>
    </row>
    <row r="290" spans="1:7" x14ac:dyDescent="0.35">
      <c r="A290">
        <v>2170124</v>
      </c>
      <c r="B290" t="s">
        <v>633</v>
      </c>
      <c r="C290" t="s">
        <v>2705</v>
      </c>
      <c r="D290" t="s">
        <v>2706</v>
      </c>
      <c r="E290" s="162" t="s">
        <v>1433</v>
      </c>
      <c r="F290" t="s">
        <v>2274</v>
      </c>
      <c r="G290" s="66" t="s">
        <v>2275</v>
      </c>
    </row>
    <row r="291" spans="1:7" x14ac:dyDescent="0.35">
      <c r="A291">
        <v>2170124</v>
      </c>
      <c r="B291" t="s">
        <v>633</v>
      </c>
      <c r="C291" t="s">
        <v>2705</v>
      </c>
      <c r="D291" t="s">
        <v>2707</v>
      </c>
      <c r="E291" s="162" t="s">
        <v>1433</v>
      </c>
      <c r="F291" t="s">
        <v>2274</v>
      </c>
      <c r="G291" s="66" t="s">
        <v>2275</v>
      </c>
    </row>
    <row r="292" spans="1:7" x14ac:dyDescent="0.35">
      <c r="A292">
        <v>2170124</v>
      </c>
      <c r="B292" t="s">
        <v>633</v>
      </c>
      <c r="C292" t="s">
        <v>2708</v>
      </c>
      <c r="D292" t="s">
        <v>2709</v>
      </c>
      <c r="E292" s="162" t="s">
        <v>1433</v>
      </c>
      <c r="F292" t="s">
        <v>2274</v>
      </c>
      <c r="G292" s="66" t="s">
        <v>2275</v>
      </c>
    </row>
    <row r="293" spans="1:7" x14ac:dyDescent="0.35">
      <c r="A293">
        <v>2170124</v>
      </c>
      <c r="B293" t="s">
        <v>633</v>
      </c>
      <c r="C293" t="s">
        <v>2708</v>
      </c>
      <c r="D293" t="s">
        <v>2710</v>
      </c>
      <c r="E293" s="162" t="s">
        <v>1433</v>
      </c>
      <c r="F293" t="s">
        <v>2274</v>
      </c>
      <c r="G293" s="66" t="s">
        <v>2275</v>
      </c>
    </row>
    <row r="294" spans="1:7" x14ac:dyDescent="0.35">
      <c r="A294">
        <v>2170124</v>
      </c>
      <c r="B294" t="s">
        <v>633</v>
      </c>
      <c r="C294" t="s">
        <v>2711</v>
      </c>
      <c r="D294" t="s">
        <v>2712</v>
      </c>
      <c r="E294" s="65" t="s">
        <v>2278</v>
      </c>
      <c r="F294" t="s">
        <v>2274</v>
      </c>
      <c r="G294" s="66" t="s">
        <v>2275</v>
      </c>
    </row>
    <row r="295" spans="1:7" x14ac:dyDescent="0.35">
      <c r="A295">
        <v>2170124</v>
      </c>
      <c r="B295" t="s">
        <v>633</v>
      </c>
      <c r="C295" t="s">
        <v>2711</v>
      </c>
      <c r="D295" t="s">
        <v>2713</v>
      </c>
      <c r="E295" s="65" t="s">
        <v>2278</v>
      </c>
      <c r="F295" t="s">
        <v>2274</v>
      </c>
      <c r="G295" s="66" t="s">
        <v>2275</v>
      </c>
    </row>
    <row r="296" spans="1:7" x14ac:dyDescent="0.35">
      <c r="A296">
        <v>2170124</v>
      </c>
      <c r="B296" t="s">
        <v>633</v>
      </c>
      <c r="C296" t="s">
        <v>2711</v>
      </c>
      <c r="D296" t="s">
        <v>2714</v>
      </c>
      <c r="E296" s="65" t="s">
        <v>2278</v>
      </c>
      <c r="F296" t="s">
        <v>2274</v>
      </c>
      <c r="G296" s="66" t="s">
        <v>2275</v>
      </c>
    </row>
    <row r="297" spans="1:7" x14ac:dyDescent="0.35">
      <c r="A297">
        <v>2170124</v>
      </c>
      <c r="B297" t="s">
        <v>633</v>
      </c>
      <c r="C297" t="s">
        <v>2715</v>
      </c>
      <c r="D297" t="s">
        <v>2716</v>
      </c>
      <c r="E297" s="162" t="s">
        <v>1433</v>
      </c>
      <c r="F297" t="s">
        <v>2274</v>
      </c>
      <c r="G297" s="66" t="s">
        <v>2275</v>
      </c>
    </row>
    <row r="298" spans="1:7" x14ac:dyDescent="0.35">
      <c r="A298">
        <v>2170124</v>
      </c>
      <c r="B298" t="s">
        <v>633</v>
      </c>
      <c r="C298" t="s">
        <v>2715</v>
      </c>
      <c r="D298" t="s">
        <v>1443</v>
      </c>
      <c r="E298" s="65" t="s">
        <v>2278</v>
      </c>
      <c r="F298" t="s">
        <v>2299</v>
      </c>
      <c r="G298" s="164" t="s">
        <v>2300</v>
      </c>
    </row>
    <row r="299" spans="1:7" x14ac:dyDescent="0.35">
      <c r="A299">
        <v>2162667</v>
      </c>
      <c r="B299" t="s">
        <v>475</v>
      </c>
      <c r="C299" t="s">
        <v>2717</v>
      </c>
      <c r="D299" t="s">
        <v>2718</v>
      </c>
      <c r="E299" s="161" t="s">
        <v>1917</v>
      </c>
      <c r="F299" t="s">
        <v>2274</v>
      </c>
      <c r="G299" s="66" t="s">
        <v>2275</v>
      </c>
    </row>
    <row r="300" spans="1:7" x14ac:dyDescent="0.35">
      <c r="A300">
        <v>2162667</v>
      </c>
      <c r="B300" t="s">
        <v>475</v>
      </c>
      <c r="C300" t="s">
        <v>2717</v>
      </c>
      <c r="D300" t="s">
        <v>2719</v>
      </c>
      <c r="E300" s="161" t="s">
        <v>1917</v>
      </c>
      <c r="F300" t="s">
        <v>2274</v>
      </c>
      <c r="G300" s="66" t="s">
        <v>2275</v>
      </c>
    </row>
    <row r="301" spans="1:7" x14ac:dyDescent="0.35">
      <c r="A301">
        <v>2162667</v>
      </c>
      <c r="B301" t="s">
        <v>475</v>
      </c>
      <c r="C301" t="s">
        <v>2720</v>
      </c>
      <c r="D301" t="s">
        <v>2721</v>
      </c>
      <c r="E301" s="161" t="s">
        <v>1917</v>
      </c>
      <c r="F301" t="s">
        <v>2274</v>
      </c>
      <c r="G301" s="66" t="s">
        <v>2275</v>
      </c>
    </row>
    <row r="302" spans="1:7" x14ac:dyDescent="0.35">
      <c r="A302">
        <v>2162667</v>
      </c>
      <c r="B302" t="s">
        <v>475</v>
      </c>
      <c r="C302" t="s">
        <v>2720</v>
      </c>
      <c r="D302" t="s">
        <v>2722</v>
      </c>
      <c r="E302" s="161" t="s">
        <v>1917</v>
      </c>
      <c r="F302" t="s">
        <v>2274</v>
      </c>
      <c r="G302" s="66" t="s">
        <v>2275</v>
      </c>
    </row>
    <row r="303" spans="1:7" x14ac:dyDescent="0.35">
      <c r="A303">
        <v>2162667</v>
      </c>
      <c r="B303" t="s">
        <v>475</v>
      </c>
      <c r="C303" t="s">
        <v>2723</v>
      </c>
      <c r="D303" t="s">
        <v>2724</v>
      </c>
      <c r="E303" s="162" t="s">
        <v>1433</v>
      </c>
      <c r="F303" t="s">
        <v>2274</v>
      </c>
      <c r="G303" s="66" t="s">
        <v>2275</v>
      </c>
    </row>
    <row r="304" spans="1:7" x14ac:dyDescent="0.35">
      <c r="A304">
        <v>2162667</v>
      </c>
      <c r="B304" t="s">
        <v>475</v>
      </c>
      <c r="C304" t="s">
        <v>2723</v>
      </c>
      <c r="D304" t="s">
        <v>2725</v>
      </c>
      <c r="E304" s="162" t="s">
        <v>1433</v>
      </c>
      <c r="F304" t="s">
        <v>2274</v>
      </c>
      <c r="G304" s="66" t="s">
        <v>2275</v>
      </c>
    </row>
    <row r="305" spans="1:7" x14ac:dyDescent="0.35">
      <c r="A305">
        <v>2162667</v>
      </c>
      <c r="B305" t="s">
        <v>475</v>
      </c>
      <c r="C305" t="s">
        <v>2726</v>
      </c>
      <c r="D305" t="s">
        <v>2727</v>
      </c>
      <c r="E305" s="161" t="s">
        <v>1917</v>
      </c>
      <c r="F305" t="s">
        <v>2274</v>
      </c>
      <c r="G305" s="66" t="s">
        <v>2275</v>
      </c>
    </row>
    <row r="306" spans="1:7" x14ac:dyDescent="0.35">
      <c r="A306">
        <v>2162667</v>
      </c>
      <c r="B306" t="s">
        <v>475</v>
      </c>
      <c r="C306" t="s">
        <v>2726</v>
      </c>
      <c r="D306" t="s">
        <v>2728</v>
      </c>
      <c r="E306" s="65" t="s">
        <v>2278</v>
      </c>
      <c r="F306" t="s">
        <v>2274</v>
      </c>
      <c r="G306" s="66" t="s">
        <v>2275</v>
      </c>
    </row>
    <row r="307" spans="1:7" x14ac:dyDescent="0.35">
      <c r="A307">
        <v>2162667</v>
      </c>
      <c r="B307" t="s">
        <v>475</v>
      </c>
      <c r="C307" t="s">
        <v>2726</v>
      </c>
      <c r="D307" t="s">
        <v>2729</v>
      </c>
      <c r="E307" s="161" t="s">
        <v>1917</v>
      </c>
      <c r="F307" t="s">
        <v>2274</v>
      </c>
      <c r="G307" s="66" t="s">
        <v>2275</v>
      </c>
    </row>
    <row r="308" spans="1:7" x14ac:dyDescent="0.35">
      <c r="A308">
        <v>2162667</v>
      </c>
      <c r="B308" t="s">
        <v>475</v>
      </c>
      <c r="C308" t="s">
        <v>2730</v>
      </c>
      <c r="D308" t="s">
        <v>2731</v>
      </c>
      <c r="E308" s="161" t="s">
        <v>1917</v>
      </c>
      <c r="F308" t="s">
        <v>2274</v>
      </c>
      <c r="G308" s="66" t="s">
        <v>2275</v>
      </c>
    </row>
    <row r="309" spans="1:7" x14ac:dyDescent="0.35">
      <c r="A309">
        <v>2162667</v>
      </c>
      <c r="B309" t="s">
        <v>475</v>
      </c>
      <c r="C309" t="s">
        <v>2730</v>
      </c>
      <c r="D309" t="s">
        <v>2732</v>
      </c>
      <c r="E309" s="161" t="s">
        <v>1917</v>
      </c>
      <c r="F309" t="s">
        <v>2274</v>
      </c>
      <c r="G309" s="66" t="s">
        <v>2275</v>
      </c>
    </row>
    <row r="310" spans="1:7" x14ac:dyDescent="0.35">
      <c r="A310">
        <v>2162667</v>
      </c>
      <c r="B310" t="s">
        <v>475</v>
      </c>
      <c r="C310" t="s">
        <v>2733</v>
      </c>
      <c r="D310" t="s">
        <v>2734</v>
      </c>
      <c r="E310" s="162" t="s">
        <v>1433</v>
      </c>
      <c r="F310" t="s">
        <v>2274</v>
      </c>
      <c r="G310" s="66" t="s">
        <v>2275</v>
      </c>
    </row>
    <row r="311" spans="1:7" x14ac:dyDescent="0.35">
      <c r="A311">
        <v>2162667</v>
      </c>
      <c r="B311" t="s">
        <v>475</v>
      </c>
      <c r="C311" t="s">
        <v>2733</v>
      </c>
      <c r="D311" t="s">
        <v>2735</v>
      </c>
      <c r="E311" s="162" t="s">
        <v>1433</v>
      </c>
      <c r="F311" t="s">
        <v>2274</v>
      </c>
      <c r="G311" s="66" t="s">
        <v>2275</v>
      </c>
    </row>
    <row r="312" spans="1:7" x14ac:dyDescent="0.35">
      <c r="A312">
        <v>1118022146</v>
      </c>
      <c r="B312" t="s">
        <v>2325</v>
      </c>
      <c r="C312" t="s">
        <v>2736</v>
      </c>
      <c r="D312" t="s">
        <v>2737</v>
      </c>
      <c r="E312" s="65" t="s">
        <v>2278</v>
      </c>
      <c r="F312" t="s">
        <v>2274</v>
      </c>
      <c r="G312" s="66" t="s">
        <v>2275</v>
      </c>
    </row>
    <row r="313" spans="1:7" x14ac:dyDescent="0.35">
      <c r="A313">
        <v>1118022146</v>
      </c>
      <c r="B313" t="s">
        <v>2325</v>
      </c>
      <c r="C313" t="s">
        <v>2736</v>
      </c>
      <c r="D313" t="s">
        <v>2738</v>
      </c>
      <c r="E313" s="65" t="s">
        <v>2278</v>
      </c>
      <c r="F313" t="s">
        <v>2274</v>
      </c>
      <c r="G313" s="66" t="s">
        <v>2275</v>
      </c>
    </row>
    <row r="314" spans="1:7" x14ac:dyDescent="0.35">
      <c r="A314">
        <v>1118022146</v>
      </c>
      <c r="B314" t="s">
        <v>2325</v>
      </c>
      <c r="C314" t="s">
        <v>2739</v>
      </c>
      <c r="D314" t="s">
        <v>2740</v>
      </c>
      <c r="E314" s="65" t="s">
        <v>2278</v>
      </c>
      <c r="F314" t="s">
        <v>2274</v>
      </c>
      <c r="G314" s="66" t="s">
        <v>2275</v>
      </c>
    </row>
    <row r="315" spans="1:7" x14ac:dyDescent="0.35">
      <c r="A315">
        <v>1118022146</v>
      </c>
      <c r="B315" t="s">
        <v>2325</v>
      </c>
      <c r="C315" t="s">
        <v>2739</v>
      </c>
      <c r="D315" t="s">
        <v>2741</v>
      </c>
      <c r="E315" s="65" t="s">
        <v>2278</v>
      </c>
      <c r="F315" t="s">
        <v>2274</v>
      </c>
      <c r="G315" s="66" t="s">
        <v>2275</v>
      </c>
    </row>
    <row r="316" spans="1:7" x14ac:dyDescent="0.35">
      <c r="A316">
        <v>1118022146</v>
      </c>
      <c r="B316" t="s">
        <v>2325</v>
      </c>
      <c r="C316" t="s">
        <v>2739</v>
      </c>
      <c r="D316" t="s">
        <v>2742</v>
      </c>
      <c r="E316" s="65" t="s">
        <v>2278</v>
      </c>
      <c r="F316" t="s">
        <v>2274</v>
      </c>
      <c r="G316" s="66" t="s">
        <v>2275</v>
      </c>
    </row>
    <row r="317" spans="1:7" x14ac:dyDescent="0.35">
      <c r="A317">
        <v>1118022146</v>
      </c>
      <c r="B317" t="s">
        <v>2325</v>
      </c>
      <c r="C317" t="s">
        <v>2743</v>
      </c>
      <c r="D317" t="s">
        <v>2744</v>
      </c>
      <c r="E317" s="65" t="s">
        <v>2278</v>
      </c>
      <c r="F317" t="s">
        <v>2274</v>
      </c>
      <c r="G317" s="66" t="s">
        <v>2275</v>
      </c>
    </row>
    <row r="318" spans="1:7" x14ac:dyDescent="0.35">
      <c r="A318">
        <v>1118022146</v>
      </c>
      <c r="B318" t="s">
        <v>2325</v>
      </c>
      <c r="C318" t="s">
        <v>2743</v>
      </c>
      <c r="D318" t="s">
        <v>2745</v>
      </c>
      <c r="E318" s="65" t="s">
        <v>2278</v>
      </c>
      <c r="F318" t="s">
        <v>2274</v>
      </c>
      <c r="G318" s="66" t="s">
        <v>2275</v>
      </c>
    </row>
    <row r="319" spans="1:7" x14ac:dyDescent="0.35">
      <c r="A319">
        <v>1118022146</v>
      </c>
      <c r="B319" t="s">
        <v>2325</v>
      </c>
      <c r="C319" t="s">
        <v>2746</v>
      </c>
      <c r="D319" t="s">
        <v>1947</v>
      </c>
      <c r="E319" s="65" t="s">
        <v>2278</v>
      </c>
      <c r="F319" t="s">
        <v>2299</v>
      </c>
      <c r="G319" s="164" t="s">
        <v>2300</v>
      </c>
    </row>
    <row r="320" spans="1:7" x14ac:dyDescent="0.35">
      <c r="A320">
        <v>1118022146</v>
      </c>
      <c r="B320" t="s">
        <v>2325</v>
      </c>
      <c r="C320" t="s">
        <v>2746</v>
      </c>
      <c r="D320" t="s">
        <v>2747</v>
      </c>
      <c r="E320" s="65" t="s">
        <v>2278</v>
      </c>
      <c r="F320" t="s">
        <v>2274</v>
      </c>
      <c r="G320" s="66" t="s">
        <v>2275</v>
      </c>
    </row>
    <row r="321" spans="1:7" x14ac:dyDescent="0.35">
      <c r="A321">
        <v>1118022146</v>
      </c>
      <c r="B321" t="s">
        <v>2325</v>
      </c>
      <c r="C321" t="s">
        <v>2746</v>
      </c>
      <c r="D321" t="s">
        <v>2748</v>
      </c>
      <c r="E321" s="65" t="s">
        <v>2278</v>
      </c>
      <c r="F321" t="s">
        <v>2274</v>
      </c>
      <c r="G321" s="66" t="s">
        <v>2275</v>
      </c>
    </row>
    <row r="322" spans="1:7" x14ac:dyDescent="0.35">
      <c r="A322">
        <v>1118022146</v>
      </c>
      <c r="B322" t="s">
        <v>2325</v>
      </c>
      <c r="C322" t="s">
        <v>2749</v>
      </c>
      <c r="D322" t="s">
        <v>1695</v>
      </c>
      <c r="E322" s="65" t="s">
        <v>2278</v>
      </c>
      <c r="F322" t="s">
        <v>2299</v>
      </c>
      <c r="G322" s="164" t="s">
        <v>2300</v>
      </c>
    </row>
    <row r="323" spans="1:7" x14ac:dyDescent="0.35">
      <c r="A323">
        <v>1118022146</v>
      </c>
      <c r="B323" t="s">
        <v>2325</v>
      </c>
      <c r="C323" t="s">
        <v>2749</v>
      </c>
      <c r="D323" t="s">
        <v>2750</v>
      </c>
      <c r="E323" s="65" t="s">
        <v>2278</v>
      </c>
      <c r="F323" t="s">
        <v>2274</v>
      </c>
      <c r="G323" s="66" t="s">
        <v>2275</v>
      </c>
    </row>
    <row r="324" spans="1:7" x14ac:dyDescent="0.35">
      <c r="A324">
        <v>1118022146</v>
      </c>
      <c r="B324" t="s">
        <v>2325</v>
      </c>
      <c r="C324" t="s">
        <v>2751</v>
      </c>
      <c r="D324" t="s">
        <v>1623</v>
      </c>
      <c r="E324" s="65" t="s">
        <v>2278</v>
      </c>
      <c r="F324" t="s">
        <v>2274</v>
      </c>
      <c r="G324" s="66" t="s">
        <v>2275</v>
      </c>
    </row>
    <row r="325" spans="1:7" x14ac:dyDescent="0.35">
      <c r="A325">
        <v>1118022146</v>
      </c>
      <c r="B325" t="s">
        <v>2325</v>
      </c>
      <c r="C325" t="s">
        <v>2751</v>
      </c>
      <c r="D325" t="s">
        <v>2752</v>
      </c>
      <c r="E325" s="65" t="s">
        <v>2278</v>
      </c>
      <c r="F325" t="s">
        <v>2274</v>
      </c>
      <c r="G325" s="66" t="s">
        <v>2275</v>
      </c>
    </row>
    <row r="326" spans="1:7" x14ac:dyDescent="0.35">
      <c r="A326">
        <v>1118022146</v>
      </c>
      <c r="B326" t="s">
        <v>2325</v>
      </c>
      <c r="C326" t="s">
        <v>2753</v>
      </c>
      <c r="D326" t="s">
        <v>2754</v>
      </c>
      <c r="E326" s="65" t="s">
        <v>2278</v>
      </c>
      <c r="F326" t="s">
        <v>2274</v>
      </c>
      <c r="G326" s="66" t="s">
        <v>2275</v>
      </c>
    </row>
    <row r="327" spans="1:7" x14ac:dyDescent="0.35">
      <c r="A327">
        <v>1118022146</v>
      </c>
      <c r="B327" t="s">
        <v>2325</v>
      </c>
      <c r="C327" t="s">
        <v>2753</v>
      </c>
      <c r="D327" t="s">
        <v>2755</v>
      </c>
      <c r="E327" s="162" t="s">
        <v>1433</v>
      </c>
      <c r="F327" t="s">
        <v>2274</v>
      </c>
      <c r="G327" s="66" t="s">
        <v>2275</v>
      </c>
    </row>
    <row r="328" spans="1:7" x14ac:dyDescent="0.35">
      <c r="A328">
        <v>2165052</v>
      </c>
      <c r="B328" t="s">
        <v>191</v>
      </c>
      <c r="C328" t="s">
        <v>2756</v>
      </c>
      <c r="D328" t="s">
        <v>1563</v>
      </c>
      <c r="E328" s="162" t="s">
        <v>1433</v>
      </c>
      <c r="F328" t="s">
        <v>2299</v>
      </c>
      <c r="G328" s="164" t="s">
        <v>2300</v>
      </c>
    </row>
    <row r="329" spans="1:7" x14ac:dyDescent="0.35">
      <c r="A329">
        <v>2165052</v>
      </c>
      <c r="B329" t="s">
        <v>191</v>
      </c>
      <c r="C329" t="s">
        <v>2756</v>
      </c>
      <c r="D329" t="s">
        <v>2757</v>
      </c>
      <c r="E329" s="162" t="s">
        <v>1433</v>
      </c>
      <c r="F329" t="s">
        <v>2274</v>
      </c>
      <c r="G329" s="66" t="s">
        <v>2275</v>
      </c>
    </row>
    <row r="330" spans="1:7" x14ac:dyDescent="0.35">
      <c r="A330">
        <v>2165052</v>
      </c>
      <c r="B330" t="s">
        <v>191</v>
      </c>
      <c r="C330" t="s">
        <v>2758</v>
      </c>
      <c r="D330" t="s">
        <v>1663</v>
      </c>
      <c r="E330" s="162" t="s">
        <v>1433</v>
      </c>
      <c r="F330" t="s">
        <v>2299</v>
      </c>
      <c r="G330" s="164" t="s">
        <v>2300</v>
      </c>
    </row>
    <row r="331" spans="1:7" x14ac:dyDescent="0.35">
      <c r="A331">
        <v>2165052</v>
      </c>
      <c r="B331" t="s">
        <v>191</v>
      </c>
      <c r="C331" t="s">
        <v>2758</v>
      </c>
      <c r="D331" t="s">
        <v>2759</v>
      </c>
      <c r="E331" s="162" t="s">
        <v>1433</v>
      </c>
      <c r="F331" t="s">
        <v>2274</v>
      </c>
      <c r="G331" s="66" t="s">
        <v>2275</v>
      </c>
    </row>
    <row r="332" spans="1:7" x14ac:dyDescent="0.35">
      <c r="A332">
        <v>2165052</v>
      </c>
      <c r="B332" t="s">
        <v>191</v>
      </c>
      <c r="C332" t="s">
        <v>2758</v>
      </c>
      <c r="D332" t="s">
        <v>2760</v>
      </c>
      <c r="E332" s="162" t="s">
        <v>1433</v>
      </c>
      <c r="F332" t="s">
        <v>2274</v>
      </c>
      <c r="G332" s="66" t="s">
        <v>2275</v>
      </c>
    </row>
    <row r="333" spans="1:7" x14ac:dyDescent="0.35">
      <c r="A333">
        <v>2165052</v>
      </c>
      <c r="B333" t="s">
        <v>191</v>
      </c>
      <c r="C333" t="s">
        <v>2761</v>
      </c>
      <c r="D333" t="s">
        <v>1673</v>
      </c>
      <c r="E333" s="162" t="s">
        <v>1433</v>
      </c>
      <c r="F333" t="s">
        <v>2299</v>
      </c>
      <c r="G333" s="164" t="s">
        <v>2300</v>
      </c>
    </row>
    <row r="334" spans="1:7" x14ac:dyDescent="0.35">
      <c r="A334">
        <v>2165052</v>
      </c>
      <c r="B334" t="s">
        <v>191</v>
      </c>
      <c r="C334" t="s">
        <v>2761</v>
      </c>
      <c r="D334" t="s">
        <v>2762</v>
      </c>
      <c r="E334" s="162" t="s">
        <v>1433</v>
      </c>
      <c r="F334" t="s">
        <v>2274</v>
      </c>
      <c r="G334" s="66" t="s">
        <v>2275</v>
      </c>
    </row>
    <row r="335" spans="1:7" x14ac:dyDescent="0.35">
      <c r="A335">
        <v>2165052</v>
      </c>
      <c r="B335" t="s">
        <v>191</v>
      </c>
      <c r="C335" t="s">
        <v>2763</v>
      </c>
      <c r="D335" t="s">
        <v>1669</v>
      </c>
      <c r="E335" s="162" t="s">
        <v>1433</v>
      </c>
      <c r="F335" t="s">
        <v>2299</v>
      </c>
      <c r="G335" s="164" t="s">
        <v>2300</v>
      </c>
    </row>
    <row r="336" spans="1:7" x14ac:dyDescent="0.35">
      <c r="A336">
        <v>2165052</v>
      </c>
      <c r="B336" t="s">
        <v>191</v>
      </c>
      <c r="C336" t="s">
        <v>2763</v>
      </c>
      <c r="D336" t="s">
        <v>2764</v>
      </c>
      <c r="E336" s="162" t="s">
        <v>1433</v>
      </c>
      <c r="F336" t="s">
        <v>2274</v>
      </c>
      <c r="G336" s="66" t="s">
        <v>2275</v>
      </c>
    </row>
    <row r="337" spans="1:7" x14ac:dyDescent="0.35">
      <c r="A337">
        <v>2165052</v>
      </c>
      <c r="B337" t="s">
        <v>191</v>
      </c>
      <c r="C337" t="s">
        <v>2763</v>
      </c>
      <c r="D337" t="s">
        <v>2765</v>
      </c>
      <c r="E337" s="162" t="s">
        <v>1433</v>
      </c>
      <c r="F337" t="s">
        <v>2274</v>
      </c>
      <c r="G337" s="66" t="s">
        <v>2275</v>
      </c>
    </row>
    <row r="338" spans="1:7" x14ac:dyDescent="0.35">
      <c r="A338">
        <v>1116898892</v>
      </c>
      <c r="B338" t="s">
        <v>204</v>
      </c>
      <c r="C338" t="s">
        <v>2766</v>
      </c>
      <c r="D338" t="s">
        <v>2767</v>
      </c>
      <c r="E338" s="162" t="s">
        <v>1433</v>
      </c>
      <c r="F338" t="s">
        <v>2274</v>
      </c>
      <c r="G338" s="66" t="s">
        <v>2275</v>
      </c>
    </row>
    <row r="339" spans="1:7" x14ac:dyDescent="0.35">
      <c r="A339">
        <v>1116898892</v>
      </c>
      <c r="B339" t="s">
        <v>204</v>
      </c>
      <c r="C339" t="s">
        <v>2766</v>
      </c>
      <c r="D339" t="s">
        <v>2768</v>
      </c>
      <c r="E339" s="162" t="s">
        <v>1433</v>
      </c>
      <c r="F339" t="s">
        <v>2274</v>
      </c>
      <c r="G339" s="66" t="s">
        <v>2275</v>
      </c>
    </row>
    <row r="340" spans="1:7" x14ac:dyDescent="0.35">
      <c r="A340">
        <v>1116898892</v>
      </c>
      <c r="B340" t="s">
        <v>204</v>
      </c>
      <c r="C340" t="s">
        <v>2769</v>
      </c>
      <c r="D340" t="s">
        <v>1679</v>
      </c>
      <c r="E340" s="162" t="s">
        <v>1433</v>
      </c>
      <c r="F340" t="s">
        <v>2299</v>
      </c>
      <c r="G340" s="164" t="s">
        <v>2300</v>
      </c>
    </row>
    <row r="341" spans="1:7" x14ac:dyDescent="0.35">
      <c r="A341">
        <v>1116898892</v>
      </c>
      <c r="B341" t="s">
        <v>204</v>
      </c>
      <c r="C341" t="s">
        <v>2769</v>
      </c>
      <c r="D341" t="s">
        <v>2770</v>
      </c>
      <c r="E341" s="162" t="s">
        <v>1433</v>
      </c>
      <c r="F341" t="s">
        <v>2274</v>
      </c>
      <c r="G341" s="66" t="s">
        <v>2275</v>
      </c>
    </row>
    <row r="342" spans="1:7" x14ac:dyDescent="0.35">
      <c r="A342">
        <v>1116898892</v>
      </c>
      <c r="B342" t="s">
        <v>204</v>
      </c>
      <c r="C342" t="s">
        <v>2769</v>
      </c>
      <c r="D342" t="s">
        <v>2771</v>
      </c>
      <c r="E342" s="162" t="s">
        <v>1433</v>
      </c>
      <c r="F342" t="s">
        <v>2274</v>
      </c>
      <c r="G342" s="66" t="s">
        <v>2275</v>
      </c>
    </row>
    <row r="343" spans="1:7" x14ac:dyDescent="0.35">
      <c r="A343">
        <v>1116898892</v>
      </c>
      <c r="B343" t="s">
        <v>204</v>
      </c>
      <c r="C343" t="s">
        <v>2772</v>
      </c>
      <c r="D343" t="s">
        <v>2773</v>
      </c>
      <c r="E343" s="123" t="s">
        <v>1493</v>
      </c>
      <c r="F343" t="s">
        <v>2274</v>
      </c>
      <c r="G343" s="66" t="s">
        <v>2275</v>
      </c>
    </row>
    <row r="344" spans="1:7" x14ac:dyDescent="0.35">
      <c r="A344">
        <v>1116898892</v>
      </c>
      <c r="B344" t="s">
        <v>204</v>
      </c>
      <c r="C344" t="s">
        <v>2772</v>
      </c>
      <c r="D344" t="s">
        <v>2774</v>
      </c>
      <c r="E344" s="162" t="s">
        <v>1433</v>
      </c>
      <c r="F344" t="s">
        <v>2274</v>
      </c>
      <c r="G344" s="66" t="s">
        <v>2275</v>
      </c>
    </row>
    <row r="345" spans="1:7" x14ac:dyDescent="0.35">
      <c r="A345">
        <v>1116898892</v>
      </c>
      <c r="B345" t="s">
        <v>204</v>
      </c>
      <c r="C345" t="s">
        <v>2775</v>
      </c>
      <c r="D345" t="s">
        <v>2776</v>
      </c>
      <c r="E345" s="162" t="s">
        <v>1433</v>
      </c>
      <c r="F345" t="s">
        <v>2274</v>
      </c>
      <c r="G345" s="66" t="s">
        <v>2275</v>
      </c>
    </row>
    <row r="346" spans="1:7" x14ac:dyDescent="0.35">
      <c r="A346">
        <v>1116898892</v>
      </c>
      <c r="B346" t="s">
        <v>204</v>
      </c>
      <c r="C346" t="s">
        <v>2775</v>
      </c>
      <c r="D346" t="s">
        <v>2777</v>
      </c>
      <c r="E346" s="65" t="s">
        <v>2278</v>
      </c>
      <c r="F346" t="s">
        <v>2274</v>
      </c>
      <c r="G346" s="66" t="s">
        <v>2275</v>
      </c>
    </row>
    <row r="347" spans="1:7" x14ac:dyDescent="0.35">
      <c r="A347">
        <v>1116898892</v>
      </c>
      <c r="B347" t="s">
        <v>204</v>
      </c>
      <c r="C347" t="s">
        <v>2775</v>
      </c>
      <c r="D347" t="s">
        <v>2778</v>
      </c>
      <c r="E347" s="162" t="s">
        <v>1433</v>
      </c>
      <c r="F347" t="s">
        <v>2274</v>
      </c>
      <c r="G347" s="66" t="s">
        <v>2275</v>
      </c>
    </row>
    <row r="348" spans="1:7" x14ac:dyDescent="0.35">
      <c r="A348">
        <v>1118023904</v>
      </c>
      <c r="B348" t="s">
        <v>576</v>
      </c>
      <c r="C348" t="s">
        <v>2779</v>
      </c>
      <c r="D348" t="s">
        <v>2780</v>
      </c>
      <c r="E348" s="65" t="s">
        <v>2278</v>
      </c>
      <c r="F348" t="s">
        <v>2274</v>
      </c>
      <c r="G348" s="66" t="s">
        <v>2275</v>
      </c>
    </row>
    <row r="349" spans="1:7" x14ac:dyDescent="0.35">
      <c r="A349">
        <v>1118023904</v>
      </c>
      <c r="B349" t="s">
        <v>576</v>
      </c>
      <c r="C349" t="s">
        <v>2779</v>
      </c>
      <c r="D349" t="s">
        <v>2781</v>
      </c>
      <c r="E349" s="162" t="s">
        <v>1433</v>
      </c>
      <c r="F349" t="s">
        <v>2274</v>
      </c>
      <c r="G349" s="66" t="s">
        <v>2275</v>
      </c>
    </row>
    <row r="350" spans="1:7" x14ac:dyDescent="0.35">
      <c r="A350">
        <v>1118023904</v>
      </c>
      <c r="B350" t="s">
        <v>576</v>
      </c>
      <c r="C350" t="s">
        <v>2782</v>
      </c>
      <c r="D350" t="s">
        <v>2783</v>
      </c>
      <c r="E350" s="162" t="s">
        <v>1433</v>
      </c>
      <c r="F350" t="s">
        <v>2274</v>
      </c>
      <c r="G350" s="66" t="s">
        <v>2275</v>
      </c>
    </row>
    <row r="351" spans="1:7" x14ac:dyDescent="0.35">
      <c r="A351">
        <v>1118023904</v>
      </c>
      <c r="B351" t="s">
        <v>576</v>
      </c>
      <c r="C351" t="s">
        <v>2782</v>
      </c>
      <c r="D351" t="s">
        <v>2784</v>
      </c>
      <c r="E351" s="162" t="s">
        <v>1433</v>
      </c>
      <c r="F351" t="s">
        <v>2274</v>
      </c>
      <c r="G351" s="66" t="s">
        <v>2275</v>
      </c>
    </row>
    <row r="352" spans="1:7" x14ac:dyDescent="0.35">
      <c r="A352">
        <v>1118023904</v>
      </c>
      <c r="B352" t="s">
        <v>576</v>
      </c>
      <c r="C352" t="s">
        <v>2785</v>
      </c>
      <c r="D352" t="s">
        <v>2786</v>
      </c>
      <c r="E352" s="162" t="s">
        <v>1433</v>
      </c>
      <c r="F352" t="s">
        <v>2274</v>
      </c>
      <c r="G352" s="66" t="s">
        <v>2275</v>
      </c>
    </row>
    <row r="353" spans="1:7" x14ac:dyDescent="0.35">
      <c r="A353">
        <v>1118023904</v>
      </c>
      <c r="B353" t="s">
        <v>576</v>
      </c>
      <c r="C353" t="s">
        <v>2785</v>
      </c>
      <c r="D353" t="s">
        <v>2499</v>
      </c>
      <c r="E353" s="162" t="s">
        <v>1433</v>
      </c>
      <c r="F353" t="s">
        <v>2274</v>
      </c>
      <c r="G353" s="66" t="s">
        <v>2275</v>
      </c>
    </row>
    <row r="354" spans="1:7" x14ac:dyDescent="0.35">
      <c r="A354">
        <v>1118023904</v>
      </c>
      <c r="B354" t="s">
        <v>576</v>
      </c>
      <c r="C354" t="s">
        <v>2787</v>
      </c>
      <c r="D354" t="s">
        <v>2498</v>
      </c>
      <c r="E354" s="162" t="s">
        <v>1433</v>
      </c>
      <c r="F354" t="s">
        <v>2274</v>
      </c>
      <c r="G354" s="66" t="s">
        <v>2275</v>
      </c>
    </row>
    <row r="355" spans="1:7" x14ac:dyDescent="0.35">
      <c r="A355">
        <v>1118023904</v>
      </c>
      <c r="B355" t="s">
        <v>576</v>
      </c>
      <c r="C355" t="s">
        <v>2787</v>
      </c>
      <c r="D355" t="s">
        <v>2788</v>
      </c>
      <c r="E355" s="162" t="s">
        <v>1433</v>
      </c>
      <c r="F355" t="s">
        <v>2274</v>
      </c>
      <c r="G355" s="66" t="s">
        <v>2275</v>
      </c>
    </row>
    <row r="356" spans="1:7" x14ac:dyDescent="0.35">
      <c r="A356">
        <v>1117980907</v>
      </c>
      <c r="B356" t="s">
        <v>2789</v>
      </c>
      <c r="C356" t="s">
        <v>2790</v>
      </c>
      <c r="D356" t="s">
        <v>2791</v>
      </c>
      <c r="E356" s="162" t="s">
        <v>1433</v>
      </c>
      <c r="F356" t="s">
        <v>2274</v>
      </c>
      <c r="G356" s="66" t="s">
        <v>2275</v>
      </c>
    </row>
    <row r="357" spans="1:7" x14ac:dyDescent="0.35">
      <c r="A357">
        <v>1117980907</v>
      </c>
      <c r="B357" t="s">
        <v>2789</v>
      </c>
      <c r="C357" t="s">
        <v>2790</v>
      </c>
      <c r="D357" t="s">
        <v>2523</v>
      </c>
      <c r="E357" s="162" t="s">
        <v>1433</v>
      </c>
      <c r="F357" t="s">
        <v>2274</v>
      </c>
      <c r="G357" s="66" t="s">
        <v>2275</v>
      </c>
    </row>
    <row r="358" spans="1:7" x14ac:dyDescent="0.35">
      <c r="A358">
        <v>1117980907</v>
      </c>
      <c r="B358" t="s">
        <v>2789</v>
      </c>
      <c r="C358" t="s">
        <v>2790</v>
      </c>
      <c r="D358" t="s">
        <v>2792</v>
      </c>
      <c r="E358" s="162" t="s">
        <v>1433</v>
      </c>
      <c r="F358" t="s">
        <v>2274</v>
      </c>
      <c r="G358" s="66" t="s">
        <v>2275</v>
      </c>
    </row>
    <row r="359" spans="1:7" x14ac:dyDescent="0.35">
      <c r="A359">
        <v>1117980907</v>
      </c>
      <c r="B359" t="s">
        <v>2789</v>
      </c>
      <c r="C359" t="s">
        <v>2793</v>
      </c>
      <c r="D359" t="s">
        <v>2794</v>
      </c>
      <c r="E359" s="162" t="s">
        <v>1433</v>
      </c>
      <c r="F359" t="s">
        <v>2274</v>
      </c>
      <c r="G359" s="66" t="s">
        <v>2275</v>
      </c>
    </row>
    <row r="360" spans="1:7" x14ac:dyDescent="0.35">
      <c r="A360">
        <v>1117980907</v>
      </c>
      <c r="B360" t="s">
        <v>2789</v>
      </c>
      <c r="C360" t="s">
        <v>2793</v>
      </c>
      <c r="D360" t="s">
        <v>2795</v>
      </c>
      <c r="E360" s="162" t="s">
        <v>1433</v>
      </c>
      <c r="F360" t="s">
        <v>2274</v>
      </c>
      <c r="G360" s="66" t="s">
        <v>2275</v>
      </c>
    </row>
    <row r="361" spans="1:7" x14ac:dyDescent="0.35">
      <c r="A361">
        <v>1117980907</v>
      </c>
      <c r="B361" t="s">
        <v>2789</v>
      </c>
      <c r="C361" t="s">
        <v>2796</v>
      </c>
      <c r="D361" t="s">
        <v>2473</v>
      </c>
      <c r="E361" s="162" t="s">
        <v>1433</v>
      </c>
      <c r="F361" t="s">
        <v>2274</v>
      </c>
      <c r="G361" s="66" t="s">
        <v>2275</v>
      </c>
    </row>
    <row r="362" spans="1:7" x14ac:dyDescent="0.35">
      <c r="A362">
        <v>1117980907</v>
      </c>
      <c r="B362" t="s">
        <v>2789</v>
      </c>
      <c r="C362" t="s">
        <v>2796</v>
      </c>
      <c r="D362" t="s">
        <v>2797</v>
      </c>
      <c r="E362" s="162" t="s">
        <v>1433</v>
      </c>
      <c r="F362" t="s">
        <v>2274</v>
      </c>
      <c r="G362" s="66" t="s">
        <v>2275</v>
      </c>
    </row>
    <row r="363" spans="1:7" x14ac:dyDescent="0.35">
      <c r="A363">
        <v>1117980907</v>
      </c>
      <c r="B363" t="s">
        <v>2789</v>
      </c>
      <c r="C363" t="s">
        <v>2798</v>
      </c>
      <c r="D363" t="s">
        <v>1552</v>
      </c>
      <c r="E363" s="162" t="s">
        <v>1433</v>
      </c>
      <c r="F363" t="s">
        <v>2274</v>
      </c>
      <c r="G363" s="66" t="s">
        <v>2275</v>
      </c>
    </row>
    <row r="364" spans="1:7" x14ac:dyDescent="0.35">
      <c r="A364">
        <v>1117980907</v>
      </c>
      <c r="B364" t="s">
        <v>2789</v>
      </c>
      <c r="C364" t="s">
        <v>2798</v>
      </c>
      <c r="D364" t="s">
        <v>2799</v>
      </c>
      <c r="E364" s="65" t="s">
        <v>2278</v>
      </c>
      <c r="F364" t="s">
        <v>2274</v>
      </c>
      <c r="G364" s="66" t="s">
        <v>2275</v>
      </c>
    </row>
    <row r="365" spans="1:7" x14ac:dyDescent="0.35">
      <c r="A365">
        <v>1117980907</v>
      </c>
      <c r="B365" t="s">
        <v>2789</v>
      </c>
      <c r="C365" t="s">
        <v>2798</v>
      </c>
      <c r="D365" t="s">
        <v>2800</v>
      </c>
      <c r="E365" s="162" t="s">
        <v>1433</v>
      </c>
      <c r="F365" t="s">
        <v>2274</v>
      </c>
      <c r="G365" s="66" t="s">
        <v>2275</v>
      </c>
    </row>
    <row r="366" spans="1:7" x14ac:dyDescent="0.35">
      <c r="A366">
        <v>1117982053</v>
      </c>
      <c r="B366" t="s">
        <v>233</v>
      </c>
      <c r="C366" t="s">
        <v>2801</v>
      </c>
      <c r="D366" t="s">
        <v>2802</v>
      </c>
      <c r="E366" s="65" t="s">
        <v>2278</v>
      </c>
      <c r="F366" t="s">
        <v>2274</v>
      </c>
      <c r="G366" s="66" t="s">
        <v>2275</v>
      </c>
    </row>
    <row r="367" spans="1:7" x14ac:dyDescent="0.35">
      <c r="A367">
        <v>1117982053</v>
      </c>
      <c r="B367" t="s">
        <v>233</v>
      </c>
      <c r="C367" t="s">
        <v>2801</v>
      </c>
      <c r="D367" t="s">
        <v>2803</v>
      </c>
      <c r="E367" s="65" t="s">
        <v>2278</v>
      </c>
      <c r="F367" t="s">
        <v>2299</v>
      </c>
      <c r="G367" s="164" t="s">
        <v>2300</v>
      </c>
    </row>
    <row r="368" spans="1:7" x14ac:dyDescent="0.35">
      <c r="A368">
        <v>1117982053</v>
      </c>
      <c r="B368" t="s">
        <v>233</v>
      </c>
      <c r="C368" t="s">
        <v>2801</v>
      </c>
      <c r="D368" t="s">
        <v>2804</v>
      </c>
      <c r="E368" s="65" t="s">
        <v>2278</v>
      </c>
      <c r="F368" t="s">
        <v>2274</v>
      </c>
      <c r="G368" s="66" t="s">
        <v>2275</v>
      </c>
    </row>
    <row r="369" spans="1:7" x14ac:dyDescent="0.35">
      <c r="A369">
        <v>1117982053</v>
      </c>
      <c r="B369" t="s">
        <v>233</v>
      </c>
      <c r="C369" t="s">
        <v>2805</v>
      </c>
      <c r="D369" t="s">
        <v>2806</v>
      </c>
      <c r="E369" s="65" t="s">
        <v>2278</v>
      </c>
      <c r="F369" t="s">
        <v>2274</v>
      </c>
      <c r="G369" s="66" t="s">
        <v>2275</v>
      </c>
    </row>
    <row r="370" spans="1:7" x14ac:dyDescent="0.35">
      <c r="A370">
        <v>1117982053</v>
      </c>
      <c r="B370" t="s">
        <v>233</v>
      </c>
      <c r="C370" t="s">
        <v>2805</v>
      </c>
      <c r="D370" t="s">
        <v>2807</v>
      </c>
      <c r="E370" s="65" t="s">
        <v>2278</v>
      </c>
      <c r="F370" t="s">
        <v>2274</v>
      </c>
      <c r="G370" s="66" t="s">
        <v>2275</v>
      </c>
    </row>
    <row r="371" spans="1:7" x14ac:dyDescent="0.35">
      <c r="A371">
        <v>1117982053</v>
      </c>
      <c r="B371" t="s">
        <v>233</v>
      </c>
      <c r="C371" t="s">
        <v>2808</v>
      </c>
      <c r="D371" t="s">
        <v>2809</v>
      </c>
      <c r="E371" s="65" t="s">
        <v>2278</v>
      </c>
      <c r="F371" t="s">
        <v>2299</v>
      </c>
      <c r="G371" s="164" t="s">
        <v>2300</v>
      </c>
    </row>
    <row r="372" spans="1:7" x14ac:dyDescent="0.35">
      <c r="A372">
        <v>1117982053</v>
      </c>
      <c r="B372" t="s">
        <v>233</v>
      </c>
      <c r="C372" t="s">
        <v>2808</v>
      </c>
      <c r="D372" t="s">
        <v>2810</v>
      </c>
      <c r="E372" s="65" t="s">
        <v>2278</v>
      </c>
      <c r="F372" t="s">
        <v>2274</v>
      </c>
      <c r="G372" s="66" t="s">
        <v>2275</v>
      </c>
    </row>
    <row r="373" spans="1:7" x14ac:dyDescent="0.35">
      <c r="A373">
        <v>1117982053</v>
      </c>
      <c r="B373" t="s">
        <v>233</v>
      </c>
      <c r="C373" t="s">
        <v>2811</v>
      </c>
      <c r="D373" t="s">
        <v>2812</v>
      </c>
      <c r="E373" s="65" t="s">
        <v>2278</v>
      </c>
      <c r="F373" t="s">
        <v>2299</v>
      </c>
      <c r="G373" s="164" t="s">
        <v>2300</v>
      </c>
    </row>
    <row r="374" spans="1:7" x14ac:dyDescent="0.35">
      <c r="A374">
        <v>1117982053</v>
      </c>
      <c r="B374" t="s">
        <v>233</v>
      </c>
      <c r="C374" t="s">
        <v>2811</v>
      </c>
      <c r="D374" t="s">
        <v>2813</v>
      </c>
      <c r="E374" s="65" t="s">
        <v>2278</v>
      </c>
      <c r="F374" t="s">
        <v>2274</v>
      </c>
      <c r="G374" s="66" t="s">
        <v>2275</v>
      </c>
    </row>
    <row r="375" spans="1:7" x14ac:dyDescent="0.35">
      <c r="A375">
        <v>1117982053</v>
      </c>
      <c r="B375" t="s">
        <v>233</v>
      </c>
      <c r="C375" t="s">
        <v>2811</v>
      </c>
      <c r="D375" t="s">
        <v>2814</v>
      </c>
      <c r="E375" s="65" t="s">
        <v>2278</v>
      </c>
      <c r="F375" t="s">
        <v>2274</v>
      </c>
      <c r="G375" s="66" t="s">
        <v>2275</v>
      </c>
    </row>
    <row r="376" spans="1:7" x14ac:dyDescent="0.35">
      <c r="A376">
        <v>1118018461</v>
      </c>
      <c r="B376" t="s">
        <v>240</v>
      </c>
      <c r="C376" t="s">
        <v>2815</v>
      </c>
      <c r="D376" t="s">
        <v>2816</v>
      </c>
      <c r="E376" s="166" t="s">
        <v>1922</v>
      </c>
      <c r="F376" t="s">
        <v>2274</v>
      </c>
      <c r="G376" s="66" t="s">
        <v>2275</v>
      </c>
    </row>
    <row r="377" spans="1:7" x14ac:dyDescent="0.35">
      <c r="A377">
        <v>1118018461</v>
      </c>
      <c r="B377" t="s">
        <v>240</v>
      </c>
      <c r="C377" t="s">
        <v>2815</v>
      </c>
      <c r="D377" t="s">
        <v>2817</v>
      </c>
      <c r="E377" s="166" t="s">
        <v>1922</v>
      </c>
      <c r="F377" t="s">
        <v>2274</v>
      </c>
      <c r="G377" s="66" t="s">
        <v>2275</v>
      </c>
    </row>
    <row r="378" spans="1:7" x14ac:dyDescent="0.35">
      <c r="A378">
        <v>1118018461</v>
      </c>
      <c r="B378" t="s">
        <v>240</v>
      </c>
      <c r="C378" t="s">
        <v>2818</v>
      </c>
      <c r="D378" t="s">
        <v>2819</v>
      </c>
      <c r="E378" s="123" t="s">
        <v>1493</v>
      </c>
      <c r="F378" t="s">
        <v>2274</v>
      </c>
      <c r="G378" s="66" t="s">
        <v>2275</v>
      </c>
    </row>
    <row r="379" spans="1:7" x14ac:dyDescent="0.35">
      <c r="A379">
        <v>1118018461</v>
      </c>
      <c r="B379" t="s">
        <v>240</v>
      </c>
      <c r="C379" t="s">
        <v>2818</v>
      </c>
      <c r="D379" t="s">
        <v>2820</v>
      </c>
      <c r="E379" s="162" t="s">
        <v>1433</v>
      </c>
      <c r="F379" t="s">
        <v>2274</v>
      </c>
      <c r="G379" s="66" t="s">
        <v>2275</v>
      </c>
    </row>
    <row r="380" spans="1:7" x14ac:dyDescent="0.35">
      <c r="A380">
        <v>1118018461</v>
      </c>
      <c r="B380" t="s">
        <v>240</v>
      </c>
      <c r="C380" t="s">
        <v>2821</v>
      </c>
      <c r="D380" t="s">
        <v>2822</v>
      </c>
      <c r="E380" s="166" t="s">
        <v>1922</v>
      </c>
      <c r="F380" t="s">
        <v>2274</v>
      </c>
      <c r="G380" s="66" t="s">
        <v>2275</v>
      </c>
    </row>
    <row r="381" spans="1:7" x14ac:dyDescent="0.35">
      <c r="A381">
        <v>1118018461</v>
      </c>
      <c r="B381" t="s">
        <v>240</v>
      </c>
      <c r="C381" t="s">
        <v>2821</v>
      </c>
      <c r="D381" t="s">
        <v>1689</v>
      </c>
      <c r="E381" s="65" t="s">
        <v>2278</v>
      </c>
      <c r="F381" t="s">
        <v>2274</v>
      </c>
      <c r="G381" s="66" t="s">
        <v>2275</v>
      </c>
    </row>
    <row r="382" spans="1:7" x14ac:dyDescent="0.35">
      <c r="A382">
        <v>1118018461</v>
      </c>
      <c r="B382" t="s">
        <v>240</v>
      </c>
      <c r="C382" t="s">
        <v>2823</v>
      </c>
      <c r="D382" t="s">
        <v>2824</v>
      </c>
      <c r="E382" s="161" t="s">
        <v>1917</v>
      </c>
      <c r="F382" t="s">
        <v>2274</v>
      </c>
      <c r="G382" s="66" t="s">
        <v>2275</v>
      </c>
    </row>
    <row r="383" spans="1:7" x14ac:dyDescent="0.35">
      <c r="A383">
        <v>1118018461</v>
      </c>
      <c r="B383" t="s">
        <v>240</v>
      </c>
      <c r="C383" t="s">
        <v>2823</v>
      </c>
      <c r="D383" t="s">
        <v>2825</v>
      </c>
      <c r="E383" s="161" t="s">
        <v>1917</v>
      </c>
      <c r="F383" t="s">
        <v>2274</v>
      </c>
      <c r="G383" s="66" t="s">
        <v>2275</v>
      </c>
    </row>
    <row r="384" spans="1:7" x14ac:dyDescent="0.35">
      <c r="A384">
        <v>1118018461</v>
      </c>
      <c r="B384" t="s">
        <v>240</v>
      </c>
      <c r="C384" t="s">
        <v>2826</v>
      </c>
      <c r="D384" t="s">
        <v>2827</v>
      </c>
      <c r="E384" s="162" t="s">
        <v>1433</v>
      </c>
      <c r="F384" t="s">
        <v>2274</v>
      </c>
      <c r="G384" s="66" t="s">
        <v>2275</v>
      </c>
    </row>
    <row r="385" spans="1:7" x14ac:dyDescent="0.35">
      <c r="A385">
        <v>1118018461</v>
      </c>
      <c r="B385" t="s">
        <v>240</v>
      </c>
      <c r="C385" t="s">
        <v>2826</v>
      </c>
      <c r="D385" t="s">
        <v>2828</v>
      </c>
      <c r="E385" s="161" t="s">
        <v>1917</v>
      </c>
      <c r="F385" t="s">
        <v>2274</v>
      </c>
      <c r="G385" s="66" t="s">
        <v>2275</v>
      </c>
    </row>
    <row r="386" spans="1:7" x14ac:dyDescent="0.35">
      <c r="A386">
        <v>1118018461</v>
      </c>
      <c r="B386" t="s">
        <v>240</v>
      </c>
      <c r="C386" t="s">
        <v>2829</v>
      </c>
      <c r="D386" t="s">
        <v>1623</v>
      </c>
      <c r="E386" s="65" t="s">
        <v>2278</v>
      </c>
      <c r="F386" t="s">
        <v>2274</v>
      </c>
      <c r="G386" s="66" t="s">
        <v>2275</v>
      </c>
    </row>
    <row r="387" spans="1:7" x14ac:dyDescent="0.35">
      <c r="A387">
        <v>1118018461</v>
      </c>
      <c r="B387" t="s">
        <v>240</v>
      </c>
      <c r="C387" t="s">
        <v>2829</v>
      </c>
      <c r="D387" t="s">
        <v>2830</v>
      </c>
      <c r="E387" s="162" t="s">
        <v>1433</v>
      </c>
      <c r="F387" t="s">
        <v>2274</v>
      </c>
      <c r="G387" s="66" t="s">
        <v>2275</v>
      </c>
    </row>
    <row r="388" spans="1:7" x14ac:dyDescent="0.35">
      <c r="A388">
        <v>1118018714</v>
      </c>
      <c r="B388" t="s">
        <v>245</v>
      </c>
      <c r="C388" t="s">
        <v>2831</v>
      </c>
      <c r="D388" t="s">
        <v>1454</v>
      </c>
      <c r="E388" s="65" t="s">
        <v>2278</v>
      </c>
      <c r="F388" t="s">
        <v>2299</v>
      </c>
      <c r="G388" s="164" t="s">
        <v>2300</v>
      </c>
    </row>
    <row r="389" spans="1:7" x14ac:dyDescent="0.35">
      <c r="A389">
        <v>1118018714</v>
      </c>
      <c r="B389" t="s">
        <v>245</v>
      </c>
      <c r="C389" t="s">
        <v>2831</v>
      </c>
      <c r="D389" t="s">
        <v>2832</v>
      </c>
      <c r="E389" s="65" t="s">
        <v>2278</v>
      </c>
      <c r="F389" t="s">
        <v>2274</v>
      </c>
      <c r="G389" s="66" t="s">
        <v>2275</v>
      </c>
    </row>
    <row r="390" spans="1:7" x14ac:dyDescent="0.35">
      <c r="A390">
        <v>1118018714</v>
      </c>
      <c r="B390" t="s">
        <v>245</v>
      </c>
      <c r="C390" t="s">
        <v>2831</v>
      </c>
      <c r="D390" t="s">
        <v>2833</v>
      </c>
      <c r="E390" s="65" t="s">
        <v>2278</v>
      </c>
      <c r="F390" t="s">
        <v>2274</v>
      </c>
      <c r="G390" s="66" t="s">
        <v>2275</v>
      </c>
    </row>
    <row r="391" spans="1:7" x14ac:dyDescent="0.35">
      <c r="A391">
        <v>1118018714</v>
      </c>
      <c r="B391" t="s">
        <v>245</v>
      </c>
      <c r="C391" t="s">
        <v>2834</v>
      </c>
      <c r="D391" t="s">
        <v>2835</v>
      </c>
      <c r="E391" s="65" t="s">
        <v>2278</v>
      </c>
      <c r="F391" t="s">
        <v>2274</v>
      </c>
      <c r="G391" s="66" t="s">
        <v>2275</v>
      </c>
    </row>
    <row r="392" spans="1:7" x14ac:dyDescent="0.35">
      <c r="A392">
        <v>1118018714</v>
      </c>
      <c r="B392" t="s">
        <v>245</v>
      </c>
      <c r="C392" t="s">
        <v>2834</v>
      </c>
      <c r="D392" t="s">
        <v>2836</v>
      </c>
      <c r="E392" s="162" t="s">
        <v>1433</v>
      </c>
      <c r="F392" t="s">
        <v>2274</v>
      </c>
      <c r="G392" s="66" t="s">
        <v>2275</v>
      </c>
    </row>
    <row r="393" spans="1:7" x14ac:dyDescent="0.35">
      <c r="A393">
        <v>1118018714</v>
      </c>
      <c r="B393" t="s">
        <v>245</v>
      </c>
      <c r="C393" t="s">
        <v>2837</v>
      </c>
      <c r="D393" t="s">
        <v>2838</v>
      </c>
      <c r="E393" s="162" t="s">
        <v>1433</v>
      </c>
      <c r="F393" t="s">
        <v>2274</v>
      </c>
      <c r="G393" s="66" t="s">
        <v>2275</v>
      </c>
    </row>
    <row r="394" spans="1:7" x14ac:dyDescent="0.35">
      <c r="A394">
        <v>1118018714</v>
      </c>
      <c r="B394" t="s">
        <v>245</v>
      </c>
      <c r="C394" t="s">
        <v>2837</v>
      </c>
      <c r="D394" t="s">
        <v>2839</v>
      </c>
      <c r="E394" s="65" t="s">
        <v>2278</v>
      </c>
      <c r="F394" t="s">
        <v>2274</v>
      </c>
      <c r="G394" s="66" t="s">
        <v>2275</v>
      </c>
    </row>
    <row r="395" spans="1:7" x14ac:dyDescent="0.35">
      <c r="A395">
        <v>1118018714</v>
      </c>
      <c r="B395" t="s">
        <v>245</v>
      </c>
      <c r="C395" t="s">
        <v>2840</v>
      </c>
      <c r="D395" t="s">
        <v>2841</v>
      </c>
      <c r="E395" s="65" t="s">
        <v>2278</v>
      </c>
      <c r="F395" t="s">
        <v>2274</v>
      </c>
      <c r="G395" s="66" t="s">
        <v>2275</v>
      </c>
    </row>
    <row r="396" spans="1:7" x14ac:dyDescent="0.35">
      <c r="A396">
        <v>1118018714</v>
      </c>
      <c r="B396" t="s">
        <v>245</v>
      </c>
      <c r="C396" t="s">
        <v>2840</v>
      </c>
      <c r="D396" t="s">
        <v>2842</v>
      </c>
      <c r="E396" s="162" t="s">
        <v>1433</v>
      </c>
      <c r="F396" t="s">
        <v>2274</v>
      </c>
      <c r="G396" s="66" t="s">
        <v>2275</v>
      </c>
    </row>
    <row r="397" spans="1:7" x14ac:dyDescent="0.35">
      <c r="A397">
        <v>1118018714</v>
      </c>
      <c r="B397" t="s">
        <v>245</v>
      </c>
      <c r="C397" t="s">
        <v>2843</v>
      </c>
      <c r="D397" t="s">
        <v>2844</v>
      </c>
      <c r="E397" s="65" t="s">
        <v>2278</v>
      </c>
      <c r="F397" t="s">
        <v>2274</v>
      </c>
      <c r="G397" s="66" t="s">
        <v>2275</v>
      </c>
    </row>
    <row r="398" spans="1:7" x14ac:dyDescent="0.35">
      <c r="A398">
        <v>1118018714</v>
      </c>
      <c r="B398" t="s">
        <v>245</v>
      </c>
      <c r="C398" t="s">
        <v>2843</v>
      </c>
      <c r="D398" t="s">
        <v>2845</v>
      </c>
      <c r="E398" s="123" t="s">
        <v>1493</v>
      </c>
      <c r="F398" t="s">
        <v>2274</v>
      </c>
      <c r="G398" s="66" t="s">
        <v>2275</v>
      </c>
    </row>
    <row r="399" spans="1:7" x14ac:dyDescent="0.35">
      <c r="A399">
        <v>1118017586</v>
      </c>
      <c r="B399" t="s">
        <v>2846</v>
      </c>
      <c r="C399" t="s">
        <v>2847</v>
      </c>
      <c r="D399" t="s">
        <v>2848</v>
      </c>
      <c r="E399" s="162" t="s">
        <v>1433</v>
      </c>
      <c r="F399" t="s">
        <v>2274</v>
      </c>
      <c r="G399" s="66" t="s">
        <v>2275</v>
      </c>
    </row>
    <row r="400" spans="1:7" x14ac:dyDescent="0.35">
      <c r="A400">
        <v>1118017586</v>
      </c>
      <c r="B400" t="s">
        <v>2846</v>
      </c>
      <c r="C400" t="s">
        <v>2847</v>
      </c>
      <c r="D400" t="s">
        <v>2849</v>
      </c>
      <c r="E400" s="162" t="s">
        <v>1433</v>
      </c>
      <c r="F400" t="s">
        <v>2274</v>
      </c>
      <c r="G400" s="66" t="s">
        <v>2275</v>
      </c>
    </row>
    <row r="401" spans="1:7" x14ac:dyDescent="0.35">
      <c r="A401">
        <v>1118017586</v>
      </c>
      <c r="B401" t="s">
        <v>2846</v>
      </c>
      <c r="C401" t="s">
        <v>2850</v>
      </c>
      <c r="D401" t="s">
        <v>2851</v>
      </c>
      <c r="E401" s="162" t="s">
        <v>1433</v>
      </c>
      <c r="F401" t="s">
        <v>2299</v>
      </c>
      <c r="G401" s="164" t="s">
        <v>2300</v>
      </c>
    </row>
    <row r="402" spans="1:7" x14ac:dyDescent="0.35">
      <c r="A402">
        <v>1118017586</v>
      </c>
      <c r="B402" t="s">
        <v>2846</v>
      </c>
      <c r="C402" t="s">
        <v>2850</v>
      </c>
      <c r="D402" t="s">
        <v>2852</v>
      </c>
      <c r="E402" s="162" t="s">
        <v>1433</v>
      </c>
      <c r="F402" t="s">
        <v>2274</v>
      </c>
      <c r="G402" s="66" t="s">
        <v>2275</v>
      </c>
    </row>
    <row r="403" spans="1:7" x14ac:dyDescent="0.35">
      <c r="A403">
        <v>1118003709</v>
      </c>
      <c r="B403" t="s">
        <v>1307</v>
      </c>
      <c r="C403" t="s">
        <v>2853</v>
      </c>
      <c r="D403" t="s">
        <v>2854</v>
      </c>
      <c r="E403" s="162" t="s">
        <v>1433</v>
      </c>
      <c r="F403" t="s">
        <v>2274</v>
      </c>
      <c r="G403" s="66" t="s">
        <v>2275</v>
      </c>
    </row>
    <row r="404" spans="1:7" x14ac:dyDescent="0.35">
      <c r="A404">
        <v>1118003709</v>
      </c>
      <c r="B404" t="s">
        <v>1307</v>
      </c>
      <c r="C404" t="s">
        <v>2853</v>
      </c>
      <c r="D404" t="s">
        <v>2855</v>
      </c>
      <c r="E404" s="162" t="s">
        <v>1433</v>
      </c>
      <c r="F404" t="s">
        <v>2274</v>
      </c>
      <c r="G404" s="66" t="s">
        <v>2275</v>
      </c>
    </row>
    <row r="405" spans="1:7" x14ac:dyDescent="0.35">
      <c r="A405">
        <v>1118003709</v>
      </c>
      <c r="B405" t="s">
        <v>1307</v>
      </c>
      <c r="C405" t="s">
        <v>2856</v>
      </c>
      <c r="D405" t="s">
        <v>2857</v>
      </c>
      <c r="E405" s="162" t="s">
        <v>1433</v>
      </c>
      <c r="F405" t="s">
        <v>2274</v>
      </c>
      <c r="G405" s="66" t="s">
        <v>2275</v>
      </c>
    </row>
    <row r="406" spans="1:7" x14ac:dyDescent="0.35">
      <c r="A406">
        <v>1118003709</v>
      </c>
      <c r="B406" t="s">
        <v>1307</v>
      </c>
      <c r="C406" t="s">
        <v>2856</v>
      </c>
      <c r="D406" t="s">
        <v>2858</v>
      </c>
      <c r="E406" s="162" t="s">
        <v>1433</v>
      </c>
      <c r="F406" t="s">
        <v>2274</v>
      </c>
      <c r="G406" s="66" t="s">
        <v>2275</v>
      </c>
    </row>
    <row r="407" spans="1:7" x14ac:dyDescent="0.35">
      <c r="A407">
        <v>1118003709</v>
      </c>
      <c r="B407" t="s">
        <v>1307</v>
      </c>
      <c r="C407" t="s">
        <v>2859</v>
      </c>
      <c r="D407" t="s">
        <v>1530</v>
      </c>
      <c r="E407" s="166" t="s">
        <v>1922</v>
      </c>
      <c r="F407" t="s">
        <v>2274</v>
      </c>
      <c r="G407" s="66" t="s">
        <v>2275</v>
      </c>
    </row>
    <row r="408" spans="1:7" x14ac:dyDescent="0.35">
      <c r="A408">
        <v>1118003709</v>
      </c>
      <c r="B408" t="s">
        <v>1307</v>
      </c>
      <c r="C408" t="s">
        <v>2859</v>
      </c>
      <c r="D408" t="s">
        <v>2860</v>
      </c>
      <c r="E408" s="166" t="s">
        <v>1922</v>
      </c>
      <c r="F408" t="s">
        <v>2274</v>
      </c>
      <c r="G408" s="66" t="s">
        <v>2275</v>
      </c>
    </row>
    <row r="409" spans="1:7" x14ac:dyDescent="0.35">
      <c r="A409">
        <v>1118003709</v>
      </c>
      <c r="B409" t="s">
        <v>1307</v>
      </c>
      <c r="C409" t="s">
        <v>2861</v>
      </c>
      <c r="D409" t="s">
        <v>2862</v>
      </c>
      <c r="E409" s="161" t="s">
        <v>1917</v>
      </c>
      <c r="F409" t="s">
        <v>2274</v>
      </c>
      <c r="G409" s="66" t="s">
        <v>2275</v>
      </c>
    </row>
    <row r="410" spans="1:7" x14ac:dyDescent="0.35">
      <c r="A410">
        <v>1118003709</v>
      </c>
      <c r="B410" t="s">
        <v>1307</v>
      </c>
      <c r="C410" t="s">
        <v>2861</v>
      </c>
      <c r="D410" t="s">
        <v>2863</v>
      </c>
      <c r="E410" s="161" t="s">
        <v>1917</v>
      </c>
      <c r="F410" t="s">
        <v>2274</v>
      </c>
      <c r="G410" s="66" t="s">
        <v>2275</v>
      </c>
    </row>
    <row r="411" spans="1:7" x14ac:dyDescent="0.35">
      <c r="A411">
        <v>1118020225</v>
      </c>
      <c r="B411" t="s">
        <v>2864</v>
      </c>
      <c r="C411" t="s">
        <v>2865</v>
      </c>
      <c r="D411" t="s">
        <v>2866</v>
      </c>
      <c r="E411" s="166" t="s">
        <v>1922</v>
      </c>
      <c r="F411" t="s">
        <v>2274</v>
      </c>
      <c r="G411" s="66" t="s">
        <v>2275</v>
      </c>
    </row>
    <row r="412" spans="1:7" x14ac:dyDescent="0.35">
      <c r="A412">
        <v>1118020225</v>
      </c>
      <c r="B412" t="s">
        <v>2864</v>
      </c>
      <c r="C412" t="s">
        <v>2865</v>
      </c>
      <c r="D412" t="s">
        <v>2867</v>
      </c>
      <c r="E412" s="166" t="s">
        <v>1922</v>
      </c>
      <c r="F412" t="s">
        <v>2274</v>
      </c>
      <c r="G412" s="66" t="s">
        <v>2275</v>
      </c>
    </row>
    <row r="413" spans="1:7" x14ac:dyDescent="0.35">
      <c r="A413">
        <v>1118020225</v>
      </c>
      <c r="B413" t="s">
        <v>2864</v>
      </c>
      <c r="C413" t="s">
        <v>2865</v>
      </c>
      <c r="D413" t="s">
        <v>1689</v>
      </c>
      <c r="E413" s="65" t="s">
        <v>2278</v>
      </c>
      <c r="F413" t="s">
        <v>2299</v>
      </c>
      <c r="G413" s="164" t="s">
        <v>2300</v>
      </c>
    </row>
    <row r="414" spans="1:7" x14ac:dyDescent="0.35">
      <c r="A414">
        <v>1118020225</v>
      </c>
      <c r="B414" t="s">
        <v>2864</v>
      </c>
      <c r="C414" t="s">
        <v>2868</v>
      </c>
      <c r="D414" t="s">
        <v>2428</v>
      </c>
      <c r="E414" s="166" t="s">
        <v>1922</v>
      </c>
      <c r="F414" t="s">
        <v>2274</v>
      </c>
      <c r="G414" s="66" t="s">
        <v>2275</v>
      </c>
    </row>
    <row r="415" spans="1:7" x14ac:dyDescent="0.35">
      <c r="A415">
        <v>1118020225</v>
      </c>
      <c r="B415" t="s">
        <v>2864</v>
      </c>
      <c r="C415" t="s">
        <v>2868</v>
      </c>
      <c r="D415" t="s">
        <v>2869</v>
      </c>
      <c r="E415" s="162" t="s">
        <v>1433</v>
      </c>
      <c r="F415" t="s">
        <v>2274</v>
      </c>
      <c r="G415" s="66" t="s">
        <v>2275</v>
      </c>
    </row>
    <row r="416" spans="1:7" x14ac:dyDescent="0.35">
      <c r="A416">
        <v>1118020225</v>
      </c>
      <c r="B416" t="s">
        <v>2864</v>
      </c>
      <c r="C416" t="s">
        <v>2870</v>
      </c>
      <c r="D416" t="s">
        <v>2871</v>
      </c>
      <c r="E416" s="162" t="s">
        <v>1433</v>
      </c>
      <c r="F416" t="s">
        <v>2274</v>
      </c>
      <c r="G416" s="66" t="s">
        <v>2275</v>
      </c>
    </row>
    <row r="417" spans="1:7" x14ac:dyDescent="0.35">
      <c r="A417">
        <v>1118020225</v>
      </c>
      <c r="B417" t="s">
        <v>2864</v>
      </c>
      <c r="C417" t="s">
        <v>2870</v>
      </c>
      <c r="D417" t="s">
        <v>2872</v>
      </c>
      <c r="E417" s="162" t="s">
        <v>1433</v>
      </c>
      <c r="F417" t="s">
        <v>2274</v>
      </c>
      <c r="G417" s="66" t="s">
        <v>2275</v>
      </c>
    </row>
    <row r="418" spans="1:7" x14ac:dyDescent="0.35">
      <c r="A418">
        <v>1118020225</v>
      </c>
      <c r="B418" t="s">
        <v>2864</v>
      </c>
      <c r="C418" t="s">
        <v>2873</v>
      </c>
      <c r="D418" t="s">
        <v>2874</v>
      </c>
      <c r="E418" s="123" t="s">
        <v>1493</v>
      </c>
      <c r="F418" t="s">
        <v>2274</v>
      </c>
      <c r="G418" s="66" t="s">
        <v>2275</v>
      </c>
    </row>
    <row r="419" spans="1:7" x14ac:dyDescent="0.35">
      <c r="A419">
        <v>1118020225</v>
      </c>
      <c r="B419" t="s">
        <v>2864</v>
      </c>
      <c r="C419" t="s">
        <v>2873</v>
      </c>
      <c r="D419" t="s">
        <v>2875</v>
      </c>
      <c r="E419" s="162" t="s">
        <v>1433</v>
      </c>
      <c r="F419" t="s">
        <v>2274</v>
      </c>
      <c r="G419" s="66" t="s">
        <v>2275</v>
      </c>
    </row>
    <row r="420" spans="1:7" x14ac:dyDescent="0.35">
      <c r="A420">
        <v>1118020225</v>
      </c>
      <c r="B420" t="s">
        <v>2864</v>
      </c>
      <c r="C420" t="s">
        <v>2876</v>
      </c>
      <c r="D420" t="s">
        <v>2877</v>
      </c>
      <c r="E420" s="161" t="s">
        <v>1917</v>
      </c>
      <c r="F420" t="s">
        <v>2274</v>
      </c>
      <c r="G420" s="66" t="s">
        <v>2275</v>
      </c>
    </row>
    <row r="421" spans="1:7" x14ac:dyDescent="0.35">
      <c r="A421">
        <v>1118020225</v>
      </c>
      <c r="B421" t="s">
        <v>2864</v>
      </c>
      <c r="C421" t="s">
        <v>2876</v>
      </c>
      <c r="D421" t="s">
        <v>2878</v>
      </c>
      <c r="E421" s="162" t="s">
        <v>1433</v>
      </c>
      <c r="F421" t="s">
        <v>2274</v>
      </c>
      <c r="G421" s="66" t="s">
        <v>2275</v>
      </c>
    </row>
    <row r="422" spans="1:7" x14ac:dyDescent="0.35">
      <c r="A422">
        <v>1117960588</v>
      </c>
      <c r="B422" t="s">
        <v>2879</v>
      </c>
      <c r="C422" t="s">
        <v>2880</v>
      </c>
      <c r="D422" t="s">
        <v>2516</v>
      </c>
      <c r="E422" s="162" t="s">
        <v>1433</v>
      </c>
      <c r="F422" t="s">
        <v>2274</v>
      </c>
      <c r="G422" s="66" t="s">
        <v>2275</v>
      </c>
    </row>
    <row r="423" spans="1:7" x14ac:dyDescent="0.35">
      <c r="A423">
        <v>1117960588</v>
      </c>
      <c r="B423" t="s">
        <v>2879</v>
      </c>
      <c r="C423" t="s">
        <v>2880</v>
      </c>
      <c r="D423" t="s">
        <v>2881</v>
      </c>
      <c r="E423" s="162" t="s">
        <v>1433</v>
      </c>
      <c r="F423" t="s">
        <v>2274</v>
      </c>
      <c r="G423" s="66" t="s">
        <v>2275</v>
      </c>
    </row>
    <row r="424" spans="1:7" x14ac:dyDescent="0.35">
      <c r="A424">
        <v>1117960588</v>
      </c>
      <c r="B424" t="s">
        <v>2879</v>
      </c>
      <c r="C424" t="s">
        <v>2882</v>
      </c>
      <c r="D424" t="s">
        <v>2518</v>
      </c>
      <c r="E424" s="166" t="s">
        <v>1922</v>
      </c>
      <c r="F424" t="s">
        <v>2274</v>
      </c>
      <c r="G424" s="66" t="s">
        <v>2275</v>
      </c>
    </row>
    <row r="425" spans="1:7" x14ac:dyDescent="0.35">
      <c r="A425">
        <v>1117960588</v>
      </c>
      <c r="B425" t="s">
        <v>2879</v>
      </c>
      <c r="C425" t="s">
        <v>2882</v>
      </c>
      <c r="D425" t="s">
        <v>2510</v>
      </c>
      <c r="E425" s="166" t="s">
        <v>1922</v>
      </c>
      <c r="F425" t="s">
        <v>2274</v>
      </c>
      <c r="G425" s="66" t="s">
        <v>2275</v>
      </c>
    </row>
    <row r="426" spans="1:7" x14ac:dyDescent="0.35">
      <c r="A426">
        <v>1117960588</v>
      </c>
      <c r="B426" t="s">
        <v>2879</v>
      </c>
      <c r="C426" t="s">
        <v>2883</v>
      </c>
      <c r="D426" t="s">
        <v>2648</v>
      </c>
      <c r="E426" s="162" t="s">
        <v>1433</v>
      </c>
      <c r="F426" t="s">
        <v>2274</v>
      </c>
      <c r="G426" s="66" t="s">
        <v>2275</v>
      </c>
    </row>
    <row r="427" spans="1:7" x14ac:dyDescent="0.35">
      <c r="A427">
        <v>1117960588</v>
      </c>
      <c r="B427" t="s">
        <v>2879</v>
      </c>
      <c r="C427" t="s">
        <v>2883</v>
      </c>
      <c r="D427" t="s">
        <v>2884</v>
      </c>
      <c r="E427" s="162" t="s">
        <v>1433</v>
      </c>
      <c r="F427" t="s">
        <v>2274</v>
      </c>
      <c r="G427" s="66" t="s">
        <v>2275</v>
      </c>
    </row>
    <row r="428" spans="1:7" x14ac:dyDescent="0.35">
      <c r="A428">
        <v>1117960588</v>
      </c>
      <c r="B428" t="s">
        <v>2879</v>
      </c>
      <c r="C428" t="s">
        <v>2885</v>
      </c>
      <c r="D428" t="s">
        <v>2886</v>
      </c>
      <c r="E428" s="162" t="s">
        <v>1433</v>
      </c>
      <c r="F428" t="s">
        <v>2274</v>
      </c>
      <c r="G428" s="66" t="s">
        <v>2275</v>
      </c>
    </row>
    <row r="429" spans="1:7" x14ac:dyDescent="0.35">
      <c r="A429">
        <v>1117960588</v>
      </c>
      <c r="B429" t="s">
        <v>2879</v>
      </c>
      <c r="C429" t="s">
        <v>2885</v>
      </c>
      <c r="D429" t="s">
        <v>2887</v>
      </c>
      <c r="E429" s="162" t="s">
        <v>1433</v>
      </c>
      <c r="F429" t="s">
        <v>2274</v>
      </c>
      <c r="G429" s="66" t="s">
        <v>2275</v>
      </c>
    </row>
    <row r="430" spans="1:7" x14ac:dyDescent="0.35">
      <c r="A430">
        <v>1118009739</v>
      </c>
      <c r="B430" t="s">
        <v>2888</v>
      </c>
      <c r="C430" t="s">
        <v>2889</v>
      </c>
      <c r="D430" t="s">
        <v>2890</v>
      </c>
      <c r="E430" s="162" t="s">
        <v>1433</v>
      </c>
      <c r="F430" t="s">
        <v>2274</v>
      </c>
      <c r="G430" s="66" t="s">
        <v>2275</v>
      </c>
    </row>
    <row r="431" spans="1:7" x14ac:dyDescent="0.35">
      <c r="A431">
        <v>1118009739</v>
      </c>
      <c r="B431" t="s">
        <v>2888</v>
      </c>
      <c r="C431" t="s">
        <v>2889</v>
      </c>
      <c r="D431" t="s">
        <v>2891</v>
      </c>
      <c r="E431" s="162" t="s">
        <v>1433</v>
      </c>
      <c r="F431" t="s">
        <v>2274</v>
      </c>
      <c r="G431" s="66" t="s">
        <v>2275</v>
      </c>
    </row>
    <row r="432" spans="1:7" x14ac:dyDescent="0.35">
      <c r="A432">
        <v>1118009739</v>
      </c>
      <c r="B432" t="s">
        <v>2888</v>
      </c>
      <c r="C432" t="s">
        <v>2892</v>
      </c>
      <c r="D432" t="s">
        <v>2893</v>
      </c>
      <c r="E432" s="162" t="s">
        <v>1433</v>
      </c>
      <c r="F432" t="s">
        <v>2274</v>
      </c>
      <c r="G432" s="66" t="s">
        <v>2275</v>
      </c>
    </row>
    <row r="433" spans="1:7" x14ac:dyDescent="0.35">
      <c r="A433">
        <v>1118009739</v>
      </c>
      <c r="B433" t="s">
        <v>2888</v>
      </c>
      <c r="C433" t="s">
        <v>2892</v>
      </c>
      <c r="D433" t="s">
        <v>2894</v>
      </c>
      <c r="E433" s="162" t="s">
        <v>1433</v>
      </c>
      <c r="F433" t="s">
        <v>2274</v>
      </c>
      <c r="G433" s="66" t="s">
        <v>2275</v>
      </c>
    </row>
    <row r="434" spans="1:7" x14ac:dyDescent="0.35">
      <c r="A434">
        <v>1118009739</v>
      </c>
      <c r="B434" t="s">
        <v>2888</v>
      </c>
      <c r="C434" t="s">
        <v>2892</v>
      </c>
      <c r="D434" t="s">
        <v>2895</v>
      </c>
      <c r="E434" s="162" t="s">
        <v>1433</v>
      </c>
      <c r="F434" t="s">
        <v>2274</v>
      </c>
      <c r="G434" s="66" t="s">
        <v>2275</v>
      </c>
    </row>
    <row r="435" spans="1:7" x14ac:dyDescent="0.35">
      <c r="A435">
        <v>1118025212</v>
      </c>
      <c r="B435" t="s">
        <v>2896</v>
      </c>
      <c r="C435" t="s">
        <v>2897</v>
      </c>
      <c r="D435" t="s">
        <v>2898</v>
      </c>
      <c r="E435" s="162" t="s">
        <v>1433</v>
      </c>
      <c r="F435" t="s">
        <v>2274</v>
      </c>
      <c r="G435" s="66" t="s">
        <v>2275</v>
      </c>
    </row>
    <row r="436" spans="1:7" x14ac:dyDescent="0.35">
      <c r="A436">
        <v>1118025212</v>
      </c>
      <c r="B436" t="s">
        <v>2896</v>
      </c>
      <c r="C436" t="s">
        <v>2897</v>
      </c>
      <c r="D436" t="s">
        <v>2899</v>
      </c>
      <c r="E436" s="162" t="s">
        <v>1433</v>
      </c>
      <c r="F436" t="s">
        <v>2274</v>
      </c>
      <c r="G436" s="66" t="s">
        <v>2275</v>
      </c>
    </row>
    <row r="437" spans="1:7" x14ac:dyDescent="0.35">
      <c r="A437">
        <v>1118025212</v>
      </c>
      <c r="B437" t="s">
        <v>2896</v>
      </c>
      <c r="C437" t="s">
        <v>2900</v>
      </c>
      <c r="D437" t="s">
        <v>2901</v>
      </c>
      <c r="E437" s="162" t="s">
        <v>1433</v>
      </c>
      <c r="F437" t="s">
        <v>2274</v>
      </c>
      <c r="G437" s="66" t="s">
        <v>2275</v>
      </c>
    </row>
    <row r="438" spans="1:7" x14ac:dyDescent="0.35">
      <c r="A438">
        <v>1118025212</v>
      </c>
      <c r="B438" t="s">
        <v>2896</v>
      </c>
      <c r="C438" t="s">
        <v>2900</v>
      </c>
      <c r="D438" t="s">
        <v>2573</v>
      </c>
      <c r="E438" s="162" t="s">
        <v>1433</v>
      </c>
      <c r="F438" t="s">
        <v>2274</v>
      </c>
      <c r="G438" s="66" t="s">
        <v>2275</v>
      </c>
    </row>
    <row r="439" spans="1:7" x14ac:dyDescent="0.35">
      <c r="A439">
        <v>1118025956</v>
      </c>
      <c r="B439" t="s">
        <v>178</v>
      </c>
      <c r="C439" t="s">
        <v>2902</v>
      </c>
      <c r="D439" t="s">
        <v>2903</v>
      </c>
      <c r="E439" s="162" t="s">
        <v>1433</v>
      </c>
      <c r="F439" t="s">
        <v>2274</v>
      </c>
      <c r="G439" s="66" t="s">
        <v>2275</v>
      </c>
    </row>
    <row r="440" spans="1:7" x14ac:dyDescent="0.35">
      <c r="A440">
        <v>1118025956</v>
      </c>
      <c r="B440" t="s">
        <v>178</v>
      </c>
      <c r="C440" t="s">
        <v>2902</v>
      </c>
      <c r="D440" t="s">
        <v>2904</v>
      </c>
      <c r="E440" s="162" t="s">
        <v>1433</v>
      </c>
      <c r="F440" t="s">
        <v>2274</v>
      </c>
      <c r="G440" s="66" t="s">
        <v>2275</v>
      </c>
    </row>
    <row r="441" spans="1:7" x14ac:dyDescent="0.35">
      <c r="A441">
        <v>1118025956</v>
      </c>
      <c r="B441" t="s">
        <v>178</v>
      </c>
      <c r="C441" t="s">
        <v>2902</v>
      </c>
      <c r="D441" t="s">
        <v>2905</v>
      </c>
      <c r="E441" s="162" t="s">
        <v>1433</v>
      </c>
      <c r="F441" t="s">
        <v>2274</v>
      </c>
      <c r="G441" s="66" t="s">
        <v>2275</v>
      </c>
    </row>
    <row r="442" spans="1:7" x14ac:dyDescent="0.35">
      <c r="A442">
        <v>1118025956</v>
      </c>
      <c r="B442" t="s">
        <v>178</v>
      </c>
      <c r="C442" t="s">
        <v>2906</v>
      </c>
      <c r="D442" t="s">
        <v>2907</v>
      </c>
      <c r="E442" s="162" t="s">
        <v>1433</v>
      </c>
      <c r="F442" t="s">
        <v>2274</v>
      </c>
      <c r="G442" s="66" t="s">
        <v>2275</v>
      </c>
    </row>
    <row r="443" spans="1:7" x14ac:dyDescent="0.35">
      <c r="A443">
        <v>1118025956</v>
      </c>
      <c r="B443" t="s">
        <v>178</v>
      </c>
      <c r="C443" t="s">
        <v>2906</v>
      </c>
      <c r="D443" t="s">
        <v>2908</v>
      </c>
      <c r="E443" s="162" t="s">
        <v>1433</v>
      </c>
      <c r="F443" t="s">
        <v>2274</v>
      </c>
      <c r="G443" s="66" t="s">
        <v>2275</v>
      </c>
    </row>
    <row r="444" spans="1:7" x14ac:dyDescent="0.35">
      <c r="A444">
        <v>2165301</v>
      </c>
      <c r="B444" t="s">
        <v>2909</v>
      </c>
      <c r="C444" t="s">
        <v>2910</v>
      </c>
      <c r="D444" t="s">
        <v>2911</v>
      </c>
      <c r="E444" s="161" t="s">
        <v>1917</v>
      </c>
      <c r="F444" t="s">
        <v>2274</v>
      </c>
      <c r="G444" s="66" t="s">
        <v>2275</v>
      </c>
    </row>
    <row r="445" spans="1:7" x14ac:dyDescent="0.35">
      <c r="A445">
        <v>2165301</v>
      </c>
      <c r="B445" t="s">
        <v>2909</v>
      </c>
      <c r="C445" t="s">
        <v>2910</v>
      </c>
      <c r="D445" t="s">
        <v>2912</v>
      </c>
      <c r="E445" s="161" t="s">
        <v>1917</v>
      </c>
      <c r="F445" t="s">
        <v>2274</v>
      </c>
      <c r="G445" s="66" t="s">
        <v>2275</v>
      </c>
    </row>
    <row r="446" spans="1:7" x14ac:dyDescent="0.35">
      <c r="A446">
        <v>2165301</v>
      </c>
      <c r="B446" t="s">
        <v>2909</v>
      </c>
      <c r="C446" t="s">
        <v>2913</v>
      </c>
      <c r="D446" t="s">
        <v>2914</v>
      </c>
      <c r="E446" s="162" t="s">
        <v>1433</v>
      </c>
      <c r="F446" t="s">
        <v>2274</v>
      </c>
      <c r="G446" s="66" t="s">
        <v>2275</v>
      </c>
    </row>
    <row r="447" spans="1:7" x14ac:dyDescent="0.35">
      <c r="A447">
        <v>2165301</v>
      </c>
      <c r="B447" t="s">
        <v>2909</v>
      </c>
      <c r="C447" t="s">
        <v>2913</v>
      </c>
      <c r="D447" t="s">
        <v>2915</v>
      </c>
      <c r="E447" s="161" t="s">
        <v>1917</v>
      </c>
      <c r="F447" t="s">
        <v>2274</v>
      </c>
      <c r="G447" s="66" t="s">
        <v>2275</v>
      </c>
    </row>
    <row r="448" spans="1:7" x14ac:dyDescent="0.35">
      <c r="A448">
        <v>1117961954</v>
      </c>
      <c r="B448" t="s">
        <v>2916</v>
      </c>
      <c r="C448" t="s">
        <v>2917</v>
      </c>
      <c r="D448" t="s">
        <v>2918</v>
      </c>
      <c r="E448" s="162" t="s">
        <v>1433</v>
      </c>
      <c r="F448" t="s">
        <v>2274</v>
      </c>
      <c r="G448" s="66" t="s">
        <v>2275</v>
      </c>
    </row>
    <row r="449" spans="1:7" x14ac:dyDescent="0.35">
      <c r="A449">
        <v>1117961954</v>
      </c>
      <c r="B449" t="s">
        <v>2916</v>
      </c>
      <c r="C449" t="s">
        <v>2917</v>
      </c>
      <c r="D449" t="s">
        <v>2919</v>
      </c>
      <c r="E449" s="162" t="s">
        <v>1433</v>
      </c>
      <c r="F449" t="s">
        <v>2274</v>
      </c>
      <c r="G449" s="66" t="s">
        <v>2275</v>
      </c>
    </row>
    <row r="450" spans="1:7" x14ac:dyDescent="0.35">
      <c r="A450">
        <v>1117961954</v>
      </c>
      <c r="B450" t="s">
        <v>2916</v>
      </c>
      <c r="C450" t="s">
        <v>2920</v>
      </c>
      <c r="D450" t="s">
        <v>2921</v>
      </c>
      <c r="E450" s="162" t="s">
        <v>1433</v>
      </c>
      <c r="F450" t="s">
        <v>2274</v>
      </c>
      <c r="G450" s="66" t="s">
        <v>2275</v>
      </c>
    </row>
    <row r="451" spans="1:7" x14ac:dyDescent="0.35">
      <c r="A451">
        <v>1117961954</v>
      </c>
      <c r="B451" t="s">
        <v>2916</v>
      </c>
      <c r="C451" t="s">
        <v>2920</v>
      </c>
      <c r="D451" t="s">
        <v>2922</v>
      </c>
      <c r="E451" s="161" t="s">
        <v>1917</v>
      </c>
      <c r="F451" t="s">
        <v>2274</v>
      </c>
      <c r="G451" s="66" t="s">
        <v>2275</v>
      </c>
    </row>
    <row r="452" spans="1:7" x14ac:dyDescent="0.35">
      <c r="A452">
        <v>1117961954</v>
      </c>
      <c r="B452" t="s">
        <v>2916</v>
      </c>
      <c r="C452" t="s">
        <v>2923</v>
      </c>
      <c r="D452" t="s">
        <v>2924</v>
      </c>
      <c r="E452" s="162" t="s">
        <v>1433</v>
      </c>
      <c r="F452" t="s">
        <v>2274</v>
      </c>
      <c r="G452" s="66" t="s">
        <v>2275</v>
      </c>
    </row>
    <row r="453" spans="1:7" x14ac:dyDescent="0.35">
      <c r="A453">
        <v>1117961954</v>
      </c>
      <c r="B453" t="s">
        <v>2916</v>
      </c>
      <c r="C453" t="s">
        <v>2923</v>
      </c>
      <c r="D453" t="s">
        <v>1717</v>
      </c>
      <c r="E453" s="65" t="s">
        <v>2278</v>
      </c>
      <c r="F453" t="s">
        <v>2274</v>
      </c>
      <c r="G453" s="66" t="s">
        <v>2275</v>
      </c>
    </row>
    <row r="454" spans="1:7" x14ac:dyDescent="0.35">
      <c r="A454">
        <v>1117961954</v>
      </c>
      <c r="B454" t="s">
        <v>2916</v>
      </c>
      <c r="C454" t="s">
        <v>2925</v>
      </c>
      <c r="D454" t="s">
        <v>2926</v>
      </c>
      <c r="E454" s="162" t="s">
        <v>1433</v>
      </c>
      <c r="F454" t="s">
        <v>2274</v>
      </c>
      <c r="G454" s="66" t="s">
        <v>2275</v>
      </c>
    </row>
    <row r="455" spans="1:7" x14ac:dyDescent="0.35">
      <c r="A455">
        <v>1117961954</v>
      </c>
      <c r="B455" t="s">
        <v>2916</v>
      </c>
      <c r="C455" t="s">
        <v>2925</v>
      </c>
      <c r="D455" t="s">
        <v>2927</v>
      </c>
      <c r="E455" s="162" t="s">
        <v>1433</v>
      </c>
      <c r="F455" t="s">
        <v>2274</v>
      </c>
      <c r="G455" s="66" t="s">
        <v>2275</v>
      </c>
    </row>
    <row r="456" spans="1:7" x14ac:dyDescent="0.35">
      <c r="A456">
        <v>1116884561</v>
      </c>
      <c r="B456" t="s">
        <v>2928</v>
      </c>
      <c r="C456" t="s">
        <v>2929</v>
      </c>
      <c r="D456" t="s">
        <v>2930</v>
      </c>
      <c r="E456" s="166" t="s">
        <v>1922</v>
      </c>
      <c r="F456" t="s">
        <v>2274</v>
      </c>
      <c r="G456" s="66" t="s">
        <v>2275</v>
      </c>
    </row>
    <row r="457" spans="1:7" x14ac:dyDescent="0.35">
      <c r="A457">
        <v>1116884561</v>
      </c>
      <c r="B457" t="s">
        <v>2928</v>
      </c>
      <c r="C457" t="s">
        <v>2929</v>
      </c>
      <c r="D457" t="s">
        <v>2931</v>
      </c>
      <c r="E457" s="166" t="s">
        <v>1922</v>
      </c>
      <c r="F457" t="s">
        <v>2274</v>
      </c>
      <c r="G457" s="66" t="s">
        <v>2275</v>
      </c>
    </row>
    <row r="458" spans="1:7" x14ac:dyDescent="0.35">
      <c r="A458">
        <v>1116884561</v>
      </c>
      <c r="B458" t="s">
        <v>2928</v>
      </c>
      <c r="C458" t="s">
        <v>2932</v>
      </c>
      <c r="D458" t="s">
        <v>2933</v>
      </c>
      <c r="E458" s="162" t="s">
        <v>1433</v>
      </c>
      <c r="F458" t="s">
        <v>2274</v>
      </c>
      <c r="G458" s="66" t="s">
        <v>2275</v>
      </c>
    </row>
    <row r="459" spans="1:7" x14ac:dyDescent="0.35">
      <c r="A459">
        <v>1116884561</v>
      </c>
      <c r="B459" t="s">
        <v>2928</v>
      </c>
      <c r="C459" t="s">
        <v>2932</v>
      </c>
      <c r="D459" t="s">
        <v>2934</v>
      </c>
      <c r="E459" s="162" t="s">
        <v>1433</v>
      </c>
      <c r="F459" t="s">
        <v>2274</v>
      </c>
      <c r="G459" s="66" t="s">
        <v>2275</v>
      </c>
    </row>
    <row r="460" spans="1:7" x14ac:dyDescent="0.35">
      <c r="A460">
        <v>1116884561</v>
      </c>
      <c r="B460" t="s">
        <v>2928</v>
      </c>
      <c r="C460" t="s">
        <v>2935</v>
      </c>
      <c r="D460" t="s">
        <v>2936</v>
      </c>
      <c r="E460" s="162" t="s">
        <v>1433</v>
      </c>
      <c r="F460" t="s">
        <v>2274</v>
      </c>
      <c r="G460" s="66" t="s">
        <v>2275</v>
      </c>
    </row>
    <row r="461" spans="1:7" x14ac:dyDescent="0.35">
      <c r="A461">
        <v>1116884561</v>
      </c>
      <c r="B461" t="s">
        <v>2928</v>
      </c>
      <c r="C461" t="s">
        <v>2935</v>
      </c>
      <c r="D461" t="s">
        <v>2937</v>
      </c>
      <c r="E461" s="162" t="s">
        <v>1433</v>
      </c>
      <c r="F461" t="s">
        <v>2274</v>
      </c>
      <c r="G461" s="66" t="s">
        <v>2275</v>
      </c>
    </row>
    <row r="462" spans="1:7" x14ac:dyDescent="0.35">
      <c r="A462">
        <v>1116884561</v>
      </c>
      <c r="B462" t="s">
        <v>2928</v>
      </c>
      <c r="C462" t="s">
        <v>2938</v>
      </c>
      <c r="D462" t="s">
        <v>2586</v>
      </c>
      <c r="E462" s="162" t="s">
        <v>1433</v>
      </c>
      <c r="F462" t="s">
        <v>2274</v>
      </c>
      <c r="G462" s="66" t="s">
        <v>2275</v>
      </c>
    </row>
    <row r="463" spans="1:7" x14ac:dyDescent="0.35">
      <c r="A463">
        <v>1116884561</v>
      </c>
      <c r="B463" t="s">
        <v>2928</v>
      </c>
      <c r="C463" t="s">
        <v>2938</v>
      </c>
      <c r="D463" t="s">
        <v>2939</v>
      </c>
      <c r="E463" s="162" t="s">
        <v>1433</v>
      </c>
      <c r="F463" t="s">
        <v>2274</v>
      </c>
      <c r="G463" s="66" t="s">
        <v>2275</v>
      </c>
    </row>
    <row r="464" spans="1:7" x14ac:dyDescent="0.35">
      <c r="A464">
        <v>1118028777</v>
      </c>
      <c r="B464" t="s">
        <v>2940</v>
      </c>
      <c r="C464" t="s">
        <v>2941</v>
      </c>
      <c r="D464" t="s">
        <v>2942</v>
      </c>
      <c r="E464" s="162" t="s">
        <v>1433</v>
      </c>
      <c r="F464" t="s">
        <v>2274</v>
      </c>
      <c r="G464" s="66" t="s">
        <v>2275</v>
      </c>
    </row>
    <row r="465" spans="1:7" x14ac:dyDescent="0.35">
      <c r="A465">
        <v>1118028777</v>
      </c>
      <c r="B465" t="s">
        <v>2940</v>
      </c>
      <c r="C465" t="s">
        <v>2941</v>
      </c>
      <c r="D465" t="s">
        <v>2943</v>
      </c>
      <c r="E465" s="166" t="s">
        <v>1922</v>
      </c>
      <c r="F465" t="s">
        <v>2274</v>
      </c>
      <c r="G465" s="66" t="s">
        <v>2275</v>
      </c>
    </row>
    <row r="466" spans="1:7" x14ac:dyDescent="0.35">
      <c r="A466">
        <v>1118028777</v>
      </c>
      <c r="B466" t="s">
        <v>2940</v>
      </c>
      <c r="C466" t="s">
        <v>2944</v>
      </c>
      <c r="D466" t="s">
        <v>2945</v>
      </c>
      <c r="E466" s="162" t="s">
        <v>1433</v>
      </c>
      <c r="F466" t="s">
        <v>2274</v>
      </c>
      <c r="G466" s="66" t="s">
        <v>2275</v>
      </c>
    </row>
    <row r="467" spans="1:7" x14ac:dyDescent="0.35">
      <c r="A467">
        <v>1118028777</v>
      </c>
      <c r="B467" t="s">
        <v>2940</v>
      </c>
      <c r="C467" t="s">
        <v>2944</v>
      </c>
      <c r="D467" t="s">
        <v>2586</v>
      </c>
      <c r="E467" s="162" t="s">
        <v>1433</v>
      </c>
      <c r="F467" t="s">
        <v>2274</v>
      </c>
      <c r="G467" s="66" t="s">
        <v>2275</v>
      </c>
    </row>
    <row r="468" spans="1:7" x14ac:dyDescent="0.35">
      <c r="A468">
        <v>1118028777</v>
      </c>
      <c r="B468" t="s">
        <v>2940</v>
      </c>
      <c r="C468" t="s">
        <v>2946</v>
      </c>
      <c r="D468" t="s">
        <v>2947</v>
      </c>
      <c r="E468" s="162" t="s">
        <v>1433</v>
      </c>
      <c r="F468" t="s">
        <v>2274</v>
      </c>
      <c r="G468" s="66" t="s">
        <v>2275</v>
      </c>
    </row>
    <row r="469" spans="1:7" x14ac:dyDescent="0.35">
      <c r="A469">
        <v>1118028777</v>
      </c>
      <c r="B469" t="s">
        <v>2940</v>
      </c>
      <c r="C469" t="s">
        <v>2946</v>
      </c>
      <c r="D469" t="s">
        <v>2948</v>
      </c>
      <c r="E469" s="162" t="s">
        <v>1433</v>
      </c>
      <c r="F469" t="s">
        <v>2274</v>
      </c>
      <c r="G469" s="66" t="s">
        <v>2275</v>
      </c>
    </row>
    <row r="470" spans="1:7" x14ac:dyDescent="0.35">
      <c r="A470">
        <v>1118028048</v>
      </c>
      <c r="B470" t="s">
        <v>2949</v>
      </c>
      <c r="C470" t="s">
        <v>2950</v>
      </c>
      <c r="D470" t="s">
        <v>2951</v>
      </c>
      <c r="E470" s="162" t="s">
        <v>1433</v>
      </c>
      <c r="F470" t="s">
        <v>2274</v>
      </c>
      <c r="G470" s="66" t="s">
        <v>2275</v>
      </c>
    </row>
    <row r="471" spans="1:7" x14ac:dyDescent="0.35">
      <c r="A471">
        <v>1118028048</v>
      </c>
      <c r="B471" t="s">
        <v>2949</v>
      </c>
      <c r="C471" t="s">
        <v>2950</v>
      </c>
      <c r="D471" t="s">
        <v>2952</v>
      </c>
      <c r="E471" s="65" t="s">
        <v>2278</v>
      </c>
      <c r="F471" t="s">
        <v>2299</v>
      </c>
      <c r="G471" s="164" t="s">
        <v>2300</v>
      </c>
    </row>
    <row r="472" spans="1:7" x14ac:dyDescent="0.35">
      <c r="A472">
        <v>1118028048</v>
      </c>
      <c r="B472" t="s">
        <v>2949</v>
      </c>
      <c r="C472" t="s">
        <v>2953</v>
      </c>
      <c r="D472" t="s">
        <v>2954</v>
      </c>
      <c r="E472" s="162" t="s">
        <v>1433</v>
      </c>
      <c r="F472" t="s">
        <v>2274</v>
      </c>
      <c r="G472" s="66" t="s">
        <v>2275</v>
      </c>
    </row>
    <row r="473" spans="1:7" x14ac:dyDescent="0.35">
      <c r="A473">
        <v>1118028048</v>
      </c>
      <c r="B473" t="s">
        <v>2949</v>
      </c>
      <c r="C473" t="s">
        <v>2953</v>
      </c>
      <c r="D473" t="s">
        <v>2955</v>
      </c>
      <c r="E473" s="162" t="s">
        <v>1433</v>
      </c>
      <c r="F473" t="s">
        <v>2274</v>
      </c>
      <c r="G473" s="66" t="s">
        <v>2275</v>
      </c>
    </row>
    <row r="474" spans="1:7" x14ac:dyDescent="0.35">
      <c r="A474">
        <v>1118028048</v>
      </c>
      <c r="B474" t="s">
        <v>2949</v>
      </c>
      <c r="C474" t="s">
        <v>2956</v>
      </c>
      <c r="D474" t="s">
        <v>2957</v>
      </c>
      <c r="E474" s="166" t="s">
        <v>1922</v>
      </c>
      <c r="F474" t="s">
        <v>2274</v>
      </c>
      <c r="G474" s="66" t="s">
        <v>2275</v>
      </c>
    </row>
    <row r="475" spans="1:7" x14ac:dyDescent="0.35">
      <c r="A475">
        <v>1118028048</v>
      </c>
      <c r="B475" t="s">
        <v>2949</v>
      </c>
      <c r="C475" t="s">
        <v>2956</v>
      </c>
      <c r="D475" t="s">
        <v>2958</v>
      </c>
      <c r="E475" s="166" t="s">
        <v>1922</v>
      </c>
      <c r="F475" t="s">
        <v>2274</v>
      </c>
      <c r="G475" s="66" t="s">
        <v>2275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97F74-A20A-4488-8C09-2C217AAE0A20}">
  <dimension ref="A1:K599"/>
  <sheetViews>
    <sheetView tabSelected="1" workbookViewId="0">
      <pane ySplit="1" topLeftCell="A2" activePane="bottomLeft" state="frozen"/>
      <selection activeCell="G1" sqref="G1"/>
      <selection pane="bottomLeft" activeCell="B5" sqref="B5"/>
    </sheetView>
  </sheetViews>
  <sheetFormatPr baseColWidth="10" defaultRowHeight="14.5" x14ac:dyDescent="0.35"/>
  <cols>
    <col min="1" max="1" width="10.81640625" bestFit="1" customWidth="1"/>
    <col min="2" max="2" width="69.1796875" bestFit="1" customWidth="1"/>
    <col min="4" max="4" width="60.26953125" bestFit="1" customWidth="1"/>
    <col min="5" max="5" width="38.81640625" bestFit="1" customWidth="1"/>
    <col min="6" max="6" width="9.26953125" bestFit="1" customWidth="1"/>
    <col min="7" max="7" width="23.36328125" bestFit="1" customWidth="1"/>
    <col min="8" max="8" width="8.36328125" bestFit="1" customWidth="1"/>
    <col min="9" max="9" width="47.90625" bestFit="1" customWidth="1"/>
    <col min="11" max="11" width="51.81640625" bestFit="1" customWidth="1"/>
  </cols>
  <sheetData>
    <row r="1" spans="1:11" x14ac:dyDescent="0.35">
      <c r="A1" s="125" t="s">
        <v>1911</v>
      </c>
      <c r="B1" s="125" t="s">
        <v>2</v>
      </c>
      <c r="C1" s="125" t="s">
        <v>2959</v>
      </c>
      <c r="D1" s="125" t="s">
        <v>2960</v>
      </c>
      <c r="E1" s="125" t="s">
        <v>1913</v>
      </c>
      <c r="F1" s="125" t="s">
        <v>1914</v>
      </c>
      <c r="G1" s="125" t="s">
        <v>995</v>
      </c>
      <c r="H1" s="125" t="s">
        <v>1431</v>
      </c>
      <c r="I1" s="125" t="s">
        <v>1985</v>
      </c>
      <c r="J1" s="125" t="s">
        <v>1986</v>
      </c>
      <c r="K1" s="125" t="s">
        <v>1987</v>
      </c>
    </row>
    <row r="2" spans="1:11" x14ac:dyDescent="0.35">
      <c r="A2">
        <v>2162667</v>
      </c>
      <c r="B2" t="s">
        <v>475</v>
      </c>
      <c r="C2" s="150" t="s">
        <v>2961</v>
      </c>
      <c r="D2" t="s">
        <v>1759</v>
      </c>
      <c r="E2" t="s">
        <v>1510</v>
      </c>
      <c r="F2" t="s">
        <v>1493</v>
      </c>
      <c r="G2" t="s">
        <v>1509</v>
      </c>
      <c r="H2" t="s">
        <v>1498</v>
      </c>
      <c r="I2" t="s">
        <v>760</v>
      </c>
      <c r="J2">
        <v>3121</v>
      </c>
      <c r="K2" t="s">
        <v>763</v>
      </c>
    </row>
    <row r="3" spans="1:11" x14ac:dyDescent="0.35">
      <c r="A3">
        <v>2162667</v>
      </c>
      <c r="B3" t="s">
        <v>475</v>
      </c>
      <c r="C3" s="152" t="s">
        <v>2962</v>
      </c>
      <c r="D3" t="s">
        <v>2717</v>
      </c>
      <c r="E3" t="s">
        <v>2718</v>
      </c>
      <c r="F3" t="s">
        <v>1917</v>
      </c>
      <c r="H3" t="s">
        <v>1498</v>
      </c>
      <c r="I3" t="s">
        <v>760</v>
      </c>
      <c r="J3">
        <v>3121</v>
      </c>
      <c r="K3" t="s">
        <v>763</v>
      </c>
    </row>
    <row r="4" spans="1:11" x14ac:dyDescent="0.35">
      <c r="A4">
        <v>2162667</v>
      </c>
      <c r="B4" t="s">
        <v>475</v>
      </c>
      <c r="C4" s="152" t="s">
        <v>2962</v>
      </c>
      <c r="D4" t="s">
        <v>2717</v>
      </c>
      <c r="E4" t="s">
        <v>2719</v>
      </c>
      <c r="F4" t="s">
        <v>1917</v>
      </c>
      <c r="H4" t="s">
        <v>1498</v>
      </c>
      <c r="I4" t="s">
        <v>760</v>
      </c>
      <c r="J4">
        <v>3121</v>
      </c>
      <c r="K4" t="s">
        <v>763</v>
      </c>
    </row>
    <row r="5" spans="1:11" x14ac:dyDescent="0.35">
      <c r="A5">
        <v>2162667</v>
      </c>
      <c r="B5" t="s">
        <v>475</v>
      </c>
      <c r="C5" s="152" t="s">
        <v>2962</v>
      </c>
      <c r="D5" t="s">
        <v>2720</v>
      </c>
      <c r="E5" t="s">
        <v>2721</v>
      </c>
      <c r="F5" t="s">
        <v>1917</v>
      </c>
      <c r="H5" t="s">
        <v>1498</v>
      </c>
      <c r="I5" t="s">
        <v>760</v>
      </c>
      <c r="J5">
        <v>3121</v>
      </c>
      <c r="K5" t="s">
        <v>763</v>
      </c>
    </row>
    <row r="6" spans="1:11" x14ac:dyDescent="0.35">
      <c r="A6">
        <v>2162667</v>
      </c>
      <c r="B6" t="s">
        <v>475</v>
      </c>
      <c r="C6" s="152" t="s">
        <v>2962</v>
      </c>
      <c r="D6" t="s">
        <v>2720</v>
      </c>
      <c r="E6" t="s">
        <v>2722</v>
      </c>
      <c r="F6" t="s">
        <v>1917</v>
      </c>
      <c r="H6" t="s">
        <v>1498</v>
      </c>
      <c r="I6" t="s">
        <v>760</v>
      </c>
      <c r="J6">
        <v>3121</v>
      </c>
      <c r="K6" t="s">
        <v>763</v>
      </c>
    </row>
    <row r="7" spans="1:11" x14ac:dyDescent="0.35">
      <c r="A7">
        <v>2162667</v>
      </c>
      <c r="B7" t="s">
        <v>475</v>
      </c>
      <c r="C7" s="152" t="s">
        <v>2962</v>
      </c>
      <c r="D7" t="s">
        <v>2723</v>
      </c>
      <c r="E7" t="s">
        <v>2724</v>
      </c>
      <c r="F7" t="s">
        <v>1433</v>
      </c>
      <c r="H7" t="s">
        <v>1498</v>
      </c>
      <c r="I7" t="s">
        <v>760</v>
      </c>
      <c r="J7">
        <v>3121</v>
      </c>
      <c r="K7" t="s">
        <v>763</v>
      </c>
    </row>
    <row r="8" spans="1:11" x14ac:dyDescent="0.35">
      <c r="A8">
        <v>2162667</v>
      </c>
      <c r="B8" t="s">
        <v>475</v>
      </c>
      <c r="C8" s="152" t="s">
        <v>2962</v>
      </c>
      <c r="D8" t="s">
        <v>2723</v>
      </c>
      <c r="E8" t="s">
        <v>2725</v>
      </c>
      <c r="F8" t="s">
        <v>1433</v>
      </c>
      <c r="H8" t="s">
        <v>1498</v>
      </c>
      <c r="I8" t="s">
        <v>760</v>
      </c>
      <c r="J8">
        <v>3121</v>
      </c>
      <c r="K8" t="s">
        <v>763</v>
      </c>
    </row>
    <row r="9" spans="1:11" x14ac:dyDescent="0.35">
      <c r="A9">
        <v>2162667</v>
      </c>
      <c r="B9" t="s">
        <v>475</v>
      </c>
      <c r="C9" s="152" t="s">
        <v>2962</v>
      </c>
      <c r="D9" t="s">
        <v>2726</v>
      </c>
      <c r="E9" t="s">
        <v>2727</v>
      </c>
      <c r="F9" t="s">
        <v>1917</v>
      </c>
      <c r="H9" t="s">
        <v>1498</v>
      </c>
      <c r="I9" t="s">
        <v>760</v>
      </c>
      <c r="J9">
        <v>3121</v>
      </c>
      <c r="K9" t="s">
        <v>763</v>
      </c>
    </row>
    <row r="10" spans="1:11" x14ac:dyDescent="0.35">
      <c r="A10">
        <v>2162667</v>
      </c>
      <c r="B10" t="s">
        <v>475</v>
      </c>
      <c r="C10" s="152" t="s">
        <v>2962</v>
      </c>
      <c r="D10" t="s">
        <v>2726</v>
      </c>
      <c r="E10" t="s">
        <v>2728</v>
      </c>
      <c r="F10" t="s">
        <v>2278</v>
      </c>
      <c r="H10" t="s">
        <v>1439</v>
      </c>
      <c r="I10" t="s">
        <v>760</v>
      </c>
      <c r="J10">
        <v>3121</v>
      </c>
      <c r="K10" t="s">
        <v>763</v>
      </c>
    </row>
    <row r="11" spans="1:11" x14ac:dyDescent="0.35">
      <c r="A11">
        <v>2162667</v>
      </c>
      <c r="B11" t="s">
        <v>475</v>
      </c>
      <c r="C11" s="152" t="s">
        <v>2962</v>
      </c>
      <c r="D11" t="s">
        <v>2726</v>
      </c>
      <c r="E11" t="s">
        <v>2729</v>
      </c>
      <c r="F11" t="s">
        <v>1917</v>
      </c>
      <c r="H11" t="s">
        <v>1498</v>
      </c>
      <c r="I11" t="s">
        <v>760</v>
      </c>
      <c r="J11">
        <v>3121</v>
      </c>
      <c r="K11" t="s">
        <v>763</v>
      </c>
    </row>
    <row r="12" spans="1:11" x14ac:dyDescent="0.35">
      <c r="A12">
        <v>2162667</v>
      </c>
      <c r="B12" t="s">
        <v>475</v>
      </c>
      <c r="C12" s="152" t="s">
        <v>2962</v>
      </c>
      <c r="D12" t="s">
        <v>2730</v>
      </c>
      <c r="E12" t="s">
        <v>2731</v>
      </c>
      <c r="F12" t="s">
        <v>1917</v>
      </c>
      <c r="H12" t="s">
        <v>1498</v>
      </c>
      <c r="I12" t="s">
        <v>760</v>
      </c>
      <c r="J12">
        <v>3121</v>
      </c>
      <c r="K12" t="s">
        <v>763</v>
      </c>
    </row>
    <row r="13" spans="1:11" x14ac:dyDescent="0.35">
      <c r="A13">
        <v>2162667</v>
      </c>
      <c r="B13" t="s">
        <v>475</v>
      </c>
      <c r="C13" s="152" t="s">
        <v>2962</v>
      </c>
      <c r="D13" t="s">
        <v>2730</v>
      </c>
      <c r="E13" t="s">
        <v>2732</v>
      </c>
      <c r="F13" t="s">
        <v>1917</v>
      </c>
      <c r="H13" t="s">
        <v>1498</v>
      </c>
      <c r="I13" t="s">
        <v>760</v>
      </c>
      <c r="J13">
        <v>3121</v>
      </c>
      <c r="K13" t="s">
        <v>763</v>
      </c>
    </row>
    <row r="14" spans="1:11" x14ac:dyDescent="0.35">
      <c r="A14">
        <v>2162667</v>
      </c>
      <c r="B14" t="s">
        <v>475</v>
      </c>
      <c r="C14" s="152" t="s">
        <v>2962</v>
      </c>
      <c r="D14" t="s">
        <v>2733</v>
      </c>
      <c r="E14" t="s">
        <v>2734</v>
      </c>
      <c r="F14" t="s">
        <v>1433</v>
      </c>
      <c r="H14" t="s">
        <v>1498</v>
      </c>
      <c r="I14" t="s">
        <v>760</v>
      </c>
      <c r="J14">
        <v>3121</v>
      </c>
      <c r="K14" t="s">
        <v>763</v>
      </c>
    </row>
    <row r="15" spans="1:11" x14ac:dyDescent="0.35">
      <c r="A15">
        <v>2162667</v>
      </c>
      <c r="B15" t="s">
        <v>475</v>
      </c>
      <c r="C15" s="152" t="s">
        <v>2962</v>
      </c>
      <c r="D15" t="s">
        <v>2733</v>
      </c>
      <c r="E15" t="s">
        <v>2735</v>
      </c>
      <c r="F15" t="s">
        <v>1433</v>
      </c>
      <c r="H15" t="s">
        <v>1498</v>
      </c>
      <c r="I15" t="s">
        <v>760</v>
      </c>
      <c r="J15">
        <v>3121</v>
      </c>
      <c r="K15" t="s">
        <v>763</v>
      </c>
    </row>
    <row r="16" spans="1:11" x14ac:dyDescent="0.35">
      <c r="A16">
        <v>2164100</v>
      </c>
      <c r="B16" t="s">
        <v>184</v>
      </c>
      <c r="C16" s="150" t="s">
        <v>2961</v>
      </c>
      <c r="D16" t="s">
        <v>1532</v>
      </c>
      <c r="E16" t="s">
        <v>1530</v>
      </c>
      <c r="F16" t="s">
        <v>1922</v>
      </c>
      <c r="G16" t="s">
        <v>1921</v>
      </c>
      <c r="H16" t="s">
        <v>1498</v>
      </c>
      <c r="I16" t="s">
        <v>803</v>
      </c>
      <c r="J16">
        <v>5131</v>
      </c>
      <c r="K16" t="s">
        <v>806</v>
      </c>
    </row>
    <row r="17" spans="1:11" x14ac:dyDescent="0.35">
      <c r="A17">
        <v>2164100</v>
      </c>
      <c r="B17" t="s">
        <v>184</v>
      </c>
      <c r="C17" s="150" t="s">
        <v>2961</v>
      </c>
      <c r="D17" t="s">
        <v>1849</v>
      </c>
      <c r="E17" t="s">
        <v>1851</v>
      </c>
      <c r="F17" t="s">
        <v>1493</v>
      </c>
      <c r="G17" t="s">
        <v>1850</v>
      </c>
      <c r="H17" t="s">
        <v>1498</v>
      </c>
      <c r="I17" t="s">
        <v>803</v>
      </c>
      <c r="J17">
        <v>5131</v>
      </c>
      <c r="K17" t="s">
        <v>806</v>
      </c>
    </row>
    <row r="18" spans="1:11" x14ac:dyDescent="0.35">
      <c r="A18">
        <v>2165052</v>
      </c>
      <c r="B18" t="s">
        <v>191</v>
      </c>
      <c r="C18" s="150" t="s">
        <v>2961</v>
      </c>
      <c r="D18" t="s">
        <v>1676</v>
      </c>
      <c r="E18" t="s">
        <v>1961</v>
      </c>
      <c r="F18" t="s">
        <v>1433</v>
      </c>
      <c r="G18" t="s">
        <v>1558</v>
      </c>
      <c r="H18" t="s">
        <v>1498</v>
      </c>
      <c r="I18" t="s">
        <v>808</v>
      </c>
      <c r="J18">
        <v>7411</v>
      </c>
      <c r="K18" t="s">
        <v>701</v>
      </c>
    </row>
    <row r="19" spans="1:11" x14ac:dyDescent="0.35">
      <c r="A19">
        <v>2165052</v>
      </c>
      <c r="B19" t="s">
        <v>191</v>
      </c>
      <c r="C19" s="150" t="s">
        <v>2961</v>
      </c>
      <c r="D19" t="s">
        <v>1659</v>
      </c>
      <c r="E19" t="s">
        <v>1563</v>
      </c>
      <c r="F19" t="s">
        <v>1433</v>
      </c>
      <c r="G19" t="s">
        <v>1562</v>
      </c>
      <c r="H19" t="s">
        <v>1498</v>
      </c>
      <c r="I19" t="s">
        <v>808</v>
      </c>
      <c r="J19">
        <v>7411</v>
      </c>
      <c r="K19" t="s">
        <v>701</v>
      </c>
    </row>
    <row r="20" spans="1:11" x14ac:dyDescent="0.35">
      <c r="A20">
        <v>2165052</v>
      </c>
      <c r="B20" t="s">
        <v>191</v>
      </c>
      <c r="C20" s="150" t="s">
        <v>2961</v>
      </c>
      <c r="D20" t="s">
        <v>1662</v>
      </c>
      <c r="E20" t="s">
        <v>1663</v>
      </c>
      <c r="F20" t="s">
        <v>1433</v>
      </c>
      <c r="G20" t="s">
        <v>1562</v>
      </c>
      <c r="H20" t="s">
        <v>1498</v>
      </c>
      <c r="I20" t="s">
        <v>808</v>
      </c>
      <c r="J20">
        <v>7411</v>
      </c>
      <c r="K20" t="s">
        <v>701</v>
      </c>
    </row>
    <row r="21" spans="1:11" x14ac:dyDescent="0.35">
      <c r="A21">
        <v>2165052</v>
      </c>
      <c r="B21" t="s">
        <v>191</v>
      </c>
      <c r="C21" s="150" t="s">
        <v>2961</v>
      </c>
      <c r="D21" t="s">
        <v>1672</v>
      </c>
      <c r="E21" t="s">
        <v>1673</v>
      </c>
      <c r="F21" t="s">
        <v>1433</v>
      </c>
      <c r="G21" t="s">
        <v>1562</v>
      </c>
      <c r="H21" t="s">
        <v>1498</v>
      </c>
      <c r="I21" t="s">
        <v>808</v>
      </c>
      <c r="J21">
        <v>7411</v>
      </c>
      <c r="K21" t="s">
        <v>701</v>
      </c>
    </row>
    <row r="22" spans="1:11" x14ac:dyDescent="0.35">
      <c r="A22">
        <v>2165052</v>
      </c>
      <c r="B22" t="s">
        <v>191</v>
      </c>
      <c r="C22" s="150" t="s">
        <v>2961</v>
      </c>
      <c r="D22" t="s">
        <v>1668</v>
      </c>
      <c r="E22" t="s">
        <v>1669</v>
      </c>
      <c r="F22" t="s">
        <v>1433</v>
      </c>
      <c r="G22" t="s">
        <v>1562</v>
      </c>
      <c r="H22" t="s">
        <v>1498</v>
      </c>
      <c r="I22" t="s">
        <v>808</v>
      </c>
      <c r="J22">
        <v>7411</v>
      </c>
      <c r="K22" t="s">
        <v>701</v>
      </c>
    </row>
    <row r="23" spans="1:11" x14ac:dyDescent="0.35">
      <c r="A23">
        <v>2165052</v>
      </c>
      <c r="B23" t="s">
        <v>191</v>
      </c>
      <c r="C23" s="152" t="s">
        <v>2962</v>
      </c>
      <c r="D23" t="s">
        <v>2756</v>
      </c>
      <c r="E23" t="s">
        <v>2757</v>
      </c>
      <c r="F23" t="s">
        <v>1433</v>
      </c>
      <c r="H23" t="s">
        <v>1498</v>
      </c>
      <c r="I23" t="s">
        <v>808</v>
      </c>
      <c r="J23">
        <v>7411</v>
      </c>
      <c r="K23" t="s">
        <v>701</v>
      </c>
    </row>
    <row r="24" spans="1:11" x14ac:dyDescent="0.35">
      <c r="A24">
        <v>2165052</v>
      </c>
      <c r="B24" t="s">
        <v>191</v>
      </c>
      <c r="C24" s="152" t="s">
        <v>2962</v>
      </c>
      <c r="D24" t="s">
        <v>2758</v>
      </c>
      <c r="E24" t="s">
        <v>2759</v>
      </c>
      <c r="F24" t="s">
        <v>1433</v>
      </c>
      <c r="H24" t="s">
        <v>1498</v>
      </c>
      <c r="I24" t="s">
        <v>808</v>
      </c>
      <c r="J24">
        <v>7411</v>
      </c>
      <c r="K24" t="s">
        <v>701</v>
      </c>
    </row>
    <row r="25" spans="1:11" x14ac:dyDescent="0.35">
      <c r="A25">
        <v>2165052</v>
      </c>
      <c r="B25" t="s">
        <v>191</v>
      </c>
      <c r="C25" s="152" t="s">
        <v>2962</v>
      </c>
      <c r="D25" t="s">
        <v>2758</v>
      </c>
      <c r="E25" t="s">
        <v>2760</v>
      </c>
      <c r="F25" t="s">
        <v>1433</v>
      </c>
      <c r="H25" t="s">
        <v>1498</v>
      </c>
      <c r="I25" t="s">
        <v>808</v>
      </c>
      <c r="J25">
        <v>7411</v>
      </c>
      <c r="K25" t="s">
        <v>701</v>
      </c>
    </row>
    <row r="26" spans="1:11" x14ac:dyDescent="0.35">
      <c r="A26">
        <v>2165052</v>
      </c>
      <c r="B26" t="s">
        <v>191</v>
      </c>
      <c r="C26" s="152" t="s">
        <v>2962</v>
      </c>
      <c r="D26" t="s">
        <v>2761</v>
      </c>
      <c r="E26" t="s">
        <v>2762</v>
      </c>
      <c r="F26" t="s">
        <v>1433</v>
      </c>
      <c r="H26" t="s">
        <v>1498</v>
      </c>
      <c r="I26" t="s">
        <v>808</v>
      </c>
      <c r="J26">
        <v>7411</v>
      </c>
      <c r="K26" t="s">
        <v>701</v>
      </c>
    </row>
    <row r="27" spans="1:11" x14ac:dyDescent="0.35">
      <c r="A27">
        <v>2165052</v>
      </c>
      <c r="B27" t="s">
        <v>191</v>
      </c>
      <c r="C27" s="152" t="s">
        <v>2962</v>
      </c>
      <c r="D27" t="s">
        <v>2763</v>
      </c>
      <c r="E27" t="s">
        <v>2764</v>
      </c>
      <c r="F27" t="s">
        <v>1433</v>
      </c>
      <c r="H27" t="s">
        <v>1498</v>
      </c>
      <c r="I27" t="s">
        <v>808</v>
      </c>
      <c r="J27">
        <v>7411</v>
      </c>
      <c r="K27" t="s">
        <v>701</v>
      </c>
    </row>
    <row r="28" spans="1:11" x14ac:dyDescent="0.35">
      <c r="A28">
        <v>2165052</v>
      </c>
      <c r="B28" t="s">
        <v>191</v>
      </c>
      <c r="C28" s="152" t="s">
        <v>2962</v>
      </c>
      <c r="D28" t="s">
        <v>2763</v>
      </c>
      <c r="E28" t="s">
        <v>2765</v>
      </c>
      <c r="F28" t="s">
        <v>1433</v>
      </c>
      <c r="H28" t="s">
        <v>1498</v>
      </c>
      <c r="I28" t="s">
        <v>808</v>
      </c>
      <c r="J28">
        <v>7411</v>
      </c>
      <c r="K28" t="s">
        <v>701</v>
      </c>
    </row>
    <row r="29" spans="1:11" x14ac:dyDescent="0.35">
      <c r="A29">
        <v>2165301</v>
      </c>
      <c r="B29" t="s">
        <v>198</v>
      </c>
      <c r="C29" s="150" t="s">
        <v>2961</v>
      </c>
      <c r="D29" t="s">
        <v>1962</v>
      </c>
      <c r="E29" t="s">
        <v>1443</v>
      </c>
      <c r="F29" t="s">
        <v>1433</v>
      </c>
      <c r="G29" t="s">
        <v>1434</v>
      </c>
      <c r="H29" t="s">
        <v>1439</v>
      </c>
      <c r="I29" t="s">
        <v>2001</v>
      </c>
      <c r="J29">
        <v>3341</v>
      </c>
      <c r="K29" t="s">
        <v>813</v>
      </c>
    </row>
    <row r="30" spans="1:11" x14ac:dyDescent="0.35">
      <c r="A30">
        <v>2165301</v>
      </c>
      <c r="B30" t="s">
        <v>198</v>
      </c>
      <c r="C30" s="150" t="s">
        <v>2961</v>
      </c>
      <c r="D30" t="s">
        <v>1760</v>
      </c>
      <c r="E30" t="s">
        <v>1510</v>
      </c>
      <c r="F30" t="s">
        <v>1493</v>
      </c>
      <c r="G30" t="s">
        <v>1509</v>
      </c>
      <c r="H30" t="s">
        <v>1498</v>
      </c>
      <c r="I30" t="s">
        <v>2001</v>
      </c>
      <c r="J30">
        <v>3341</v>
      </c>
      <c r="K30" t="s">
        <v>813</v>
      </c>
    </row>
    <row r="31" spans="1:11" x14ac:dyDescent="0.35">
      <c r="A31">
        <v>2165301</v>
      </c>
      <c r="B31" t="s">
        <v>198</v>
      </c>
      <c r="C31" s="152" t="s">
        <v>2962</v>
      </c>
      <c r="D31" t="s">
        <v>2910</v>
      </c>
      <c r="E31" t="s">
        <v>2911</v>
      </c>
      <c r="F31" t="s">
        <v>1917</v>
      </c>
      <c r="H31" t="s">
        <v>1498</v>
      </c>
      <c r="I31" t="s">
        <v>2001</v>
      </c>
      <c r="J31">
        <v>3341</v>
      </c>
      <c r="K31" t="s">
        <v>813</v>
      </c>
    </row>
    <row r="32" spans="1:11" x14ac:dyDescent="0.35">
      <c r="A32">
        <v>2165301</v>
      </c>
      <c r="B32" t="s">
        <v>198</v>
      </c>
      <c r="C32" s="152" t="s">
        <v>2962</v>
      </c>
      <c r="D32" t="s">
        <v>2910</v>
      </c>
      <c r="E32" t="s">
        <v>2912</v>
      </c>
      <c r="F32" t="s">
        <v>1917</v>
      </c>
      <c r="H32" t="s">
        <v>1498</v>
      </c>
      <c r="I32" t="s">
        <v>2001</v>
      </c>
      <c r="J32">
        <v>3341</v>
      </c>
      <c r="K32" t="s">
        <v>813</v>
      </c>
    </row>
    <row r="33" spans="1:11" x14ac:dyDescent="0.35">
      <c r="A33">
        <v>2165301</v>
      </c>
      <c r="B33" t="s">
        <v>198</v>
      </c>
      <c r="C33" s="152" t="s">
        <v>2962</v>
      </c>
      <c r="D33" t="s">
        <v>2913</v>
      </c>
      <c r="E33" t="s">
        <v>2914</v>
      </c>
      <c r="F33" t="s">
        <v>1433</v>
      </c>
      <c r="H33" t="s">
        <v>1498</v>
      </c>
      <c r="I33" t="s">
        <v>2001</v>
      </c>
      <c r="J33">
        <v>3341</v>
      </c>
      <c r="K33" t="s">
        <v>813</v>
      </c>
    </row>
    <row r="34" spans="1:11" x14ac:dyDescent="0.35">
      <c r="A34">
        <v>2165301</v>
      </c>
      <c r="B34" t="s">
        <v>198</v>
      </c>
      <c r="C34" s="152" t="s">
        <v>2962</v>
      </c>
      <c r="D34" t="s">
        <v>2913</v>
      </c>
      <c r="E34" t="s">
        <v>2915</v>
      </c>
      <c r="F34" t="s">
        <v>1917</v>
      </c>
      <c r="H34" t="s">
        <v>1498</v>
      </c>
      <c r="I34" t="s">
        <v>2001</v>
      </c>
      <c r="J34">
        <v>3341</v>
      </c>
      <c r="K34" t="s">
        <v>813</v>
      </c>
    </row>
    <row r="35" spans="1:11" x14ac:dyDescent="0.35">
      <c r="A35">
        <v>2170124</v>
      </c>
      <c r="B35" t="s">
        <v>268</v>
      </c>
      <c r="C35" s="150" t="s">
        <v>2961</v>
      </c>
      <c r="D35" t="s">
        <v>1972</v>
      </c>
      <c r="E35" t="s">
        <v>1482</v>
      </c>
      <c r="F35" t="s">
        <v>1433</v>
      </c>
      <c r="G35" t="s">
        <v>1481</v>
      </c>
      <c r="H35" t="s">
        <v>1439</v>
      </c>
      <c r="I35" t="s">
        <v>851</v>
      </c>
      <c r="J35">
        <v>2144</v>
      </c>
      <c r="K35" t="s">
        <v>854</v>
      </c>
    </row>
    <row r="36" spans="1:11" x14ac:dyDescent="0.35">
      <c r="A36">
        <v>2170124</v>
      </c>
      <c r="B36" t="s">
        <v>268</v>
      </c>
      <c r="C36" s="150" t="s">
        <v>2961</v>
      </c>
      <c r="D36" t="s">
        <v>1973</v>
      </c>
      <c r="E36" t="s">
        <v>1482</v>
      </c>
      <c r="F36" t="s">
        <v>1433</v>
      </c>
      <c r="G36" t="s">
        <v>1481</v>
      </c>
      <c r="H36" t="s">
        <v>1439</v>
      </c>
      <c r="I36" t="s">
        <v>851</v>
      </c>
      <c r="J36">
        <v>2144</v>
      </c>
      <c r="K36" t="s">
        <v>854</v>
      </c>
    </row>
    <row r="37" spans="1:11" x14ac:dyDescent="0.35">
      <c r="A37">
        <v>2170124</v>
      </c>
      <c r="B37" t="s">
        <v>268</v>
      </c>
      <c r="C37" s="150" t="s">
        <v>2961</v>
      </c>
      <c r="D37" t="s">
        <v>1938</v>
      </c>
      <c r="E37" t="s">
        <v>1443</v>
      </c>
      <c r="F37" t="s">
        <v>1433</v>
      </c>
      <c r="G37" t="s">
        <v>1434</v>
      </c>
      <c r="H37" t="s">
        <v>1439</v>
      </c>
      <c r="I37" t="s">
        <v>851</v>
      </c>
      <c r="J37">
        <v>2144</v>
      </c>
      <c r="K37" t="s">
        <v>854</v>
      </c>
    </row>
    <row r="38" spans="1:11" x14ac:dyDescent="0.35">
      <c r="A38">
        <v>2170124</v>
      </c>
      <c r="B38" t="s">
        <v>268</v>
      </c>
      <c r="C38" s="152" t="s">
        <v>2962</v>
      </c>
      <c r="D38" t="s">
        <v>2694</v>
      </c>
      <c r="E38" t="s">
        <v>2695</v>
      </c>
      <c r="F38" t="s">
        <v>1433</v>
      </c>
      <c r="H38" t="s">
        <v>1498</v>
      </c>
      <c r="I38" t="s">
        <v>851</v>
      </c>
      <c r="J38">
        <v>2144</v>
      </c>
      <c r="K38" t="s">
        <v>854</v>
      </c>
    </row>
    <row r="39" spans="1:11" x14ac:dyDescent="0.35">
      <c r="A39">
        <v>2170124</v>
      </c>
      <c r="B39" t="s">
        <v>268</v>
      </c>
      <c r="C39" s="152" t="s">
        <v>2962</v>
      </c>
      <c r="D39" t="s">
        <v>2694</v>
      </c>
      <c r="E39" t="s">
        <v>2696</v>
      </c>
      <c r="F39" t="s">
        <v>1433</v>
      </c>
      <c r="H39" t="s">
        <v>1498</v>
      </c>
      <c r="I39" t="s">
        <v>851</v>
      </c>
      <c r="J39">
        <v>2144</v>
      </c>
      <c r="K39" t="s">
        <v>854</v>
      </c>
    </row>
    <row r="40" spans="1:11" x14ac:dyDescent="0.35">
      <c r="A40">
        <v>2170124</v>
      </c>
      <c r="B40" t="s">
        <v>268</v>
      </c>
      <c r="C40" s="152" t="s">
        <v>2962</v>
      </c>
      <c r="D40" t="s">
        <v>2698</v>
      </c>
      <c r="E40" t="s">
        <v>2699</v>
      </c>
      <c r="F40" t="s">
        <v>1433</v>
      </c>
      <c r="H40" t="s">
        <v>1498</v>
      </c>
      <c r="I40" t="s">
        <v>851</v>
      </c>
      <c r="J40">
        <v>2144</v>
      </c>
      <c r="K40" t="s">
        <v>854</v>
      </c>
    </row>
    <row r="41" spans="1:11" x14ac:dyDescent="0.35">
      <c r="A41">
        <v>2170124</v>
      </c>
      <c r="B41" t="s">
        <v>268</v>
      </c>
      <c r="C41" s="152" t="s">
        <v>2962</v>
      </c>
      <c r="D41" t="s">
        <v>2698</v>
      </c>
      <c r="E41" t="s">
        <v>2700</v>
      </c>
      <c r="F41" t="s">
        <v>1433</v>
      </c>
      <c r="H41" t="s">
        <v>1498</v>
      </c>
      <c r="I41" t="s">
        <v>851</v>
      </c>
      <c r="J41">
        <v>2144</v>
      </c>
      <c r="K41" t="s">
        <v>854</v>
      </c>
    </row>
    <row r="42" spans="1:11" x14ac:dyDescent="0.35">
      <c r="A42">
        <v>2170124</v>
      </c>
      <c r="B42" t="s">
        <v>268</v>
      </c>
      <c r="C42" s="152" t="s">
        <v>2962</v>
      </c>
      <c r="D42" t="s">
        <v>2698</v>
      </c>
      <c r="E42" t="s">
        <v>2701</v>
      </c>
      <c r="F42" t="s">
        <v>1433</v>
      </c>
      <c r="H42" t="s">
        <v>1498</v>
      </c>
      <c r="I42" t="s">
        <v>851</v>
      </c>
      <c r="J42">
        <v>2144</v>
      </c>
      <c r="K42" t="s">
        <v>854</v>
      </c>
    </row>
    <row r="43" spans="1:11" x14ac:dyDescent="0.35">
      <c r="A43">
        <v>2170124</v>
      </c>
      <c r="B43" t="s">
        <v>268</v>
      </c>
      <c r="C43" s="152" t="s">
        <v>2962</v>
      </c>
      <c r="D43" t="s">
        <v>2702</v>
      </c>
      <c r="E43" t="s">
        <v>2703</v>
      </c>
      <c r="F43" t="s">
        <v>1433</v>
      </c>
      <c r="H43" t="s">
        <v>1498</v>
      </c>
      <c r="I43" t="s">
        <v>851</v>
      </c>
      <c r="J43">
        <v>2144</v>
      </c>
      <c r="K43" t="s">
        <v>854</v>
      </c>
    </row>
    <row r="44" spans="1:11" x14ac:dyDescent="0.35">
      <c r="A44">
        <v>2170124</v>
      </c>
      <c r="B44" t="s">
        <v>268</v>
      </c>
      <c r="C44" s="152" t="s">
        <v>2962</v>
      </c>
      <c r="D44" t="s">
        <v>2702</v>
      </c>
      <c r="E44" t="s">
        <v>2704</v>
      </c>
      <c r="F44" t="s">
        <v>1433</v>
      </c>
      <c r="H44" t="s">
        <v>1498</v>
      </c>
      <c r="I44" t="s">
        <v>851</v>
      </c>
      <c r="J44">
        <v>2144</v>
      </c>
      <c r="K44" t="s">
        <v>854</v>
      </c>
    </row>
    <row r="45" spans="1:11" x14ac:dyDescent="0.35">
      <c r="A45">
        <v>2170124</v>
      </c>
      <c r="B45" t="s">
        <v>268</v>
      </c>
      <c r="C45" s="152" t="s">
        <v>2962</v>
      </c>
      <c r="D45" t="s">
        <v>2705</v>
      </c>
      <c r="E45" t="s">
        <v>2706</v>
      </c>
      <c r="F45" t="s">
        <v>1433</v>
      </c>
      <c r="H45" t="s">
        <v>1498</v>
      </c>
      <c r="I45" t="s">
        <v>851</v>
      </c>
      <c r="J45">
        <v>2144</v>
      </c>
      <c r="K45" t="s">
        <v>854</v>
      </c>
    </row>
    <row r="46" spans="1:11" x14ac:dyDescent="0.35">
      <c r="A46">
        <v>2170124</v>
      </c>
      <c r="B46" t="s">
        <v>268</v>
      </c>
      <c r="C46" s="152" t="s">
        <v>2962</v>
      </c>
      <c r="D46" t="s">
        <v>2705</v>
      </c>
      <c r="E46" t="s">
        <v>2707</v>
      </c>
      <c r="F46" t="s">
        <v>1433</v>
      </c>
      <c r="H46" t="s">
        <v>1498</v>
      </c>
      <c r="I46" t="s">
        <v>851</v>
      </c>
      <c r="J46">
        <v>2144</v>
      </c>
      <c r="K46" t="s">
        <v>854</v>
      </c>
    </row>
    <row r="47" spans="1:11" x14ac:dyDescent="0.35">
      <c r="A47">
        <v>2170124</v>
      </c>
      <c r="B47" t="s">
        <v>268</v>
      </c>
      <c r="C47" s="152" t="s">
        <v>2962</v>
      </c>
      <c r="D47" t="s">
        <v>2708</v>
      </c>
      <c r="E47" t="s">
        <v>2709</v>
      </c>
      <c r="F47" t="s">
        <v>1433</v>
      </c>
      <c r="H47" t="s">
        <v>1498</v>
      </c>
      <c r="I47" t="s">
        <v>851</v>
      </c>
      <c r="J47">
        <v>2144</v>
      </c>
      <c r="K47" t="s">
        <v>854</v>
      </c>
    </row>
    <row r="48" spans="1:11" x14ac:dyDescent="0.35">
      <c r="A48">
        <v>2170124</v>
      </c>
      <c r="B48" t="s">
        <v>268</v>
      </c>
      <c r="C48" s="152" t="s">
        <v>2962</v>
      </c>
      <c r="D48" t="s">
        <v>2708</v>
      </c>
      <c r="E48" t="s">
        <v>2710</v>
      </c>
      <c r="F48" t="s">
        <v>1433</v>
      </c>
      <c r="H48" t="s">
        <v>1498</v>
      </c>
      <c r="I48" t="s">
        <v>851</v>
      </c>
      <c r="J48">
        <v>2144</v>
      </c>
      <c r="K48" t="s">
        <v>854</v>
      </c>
    </row>
    <row r="49" spans="1:11" x14ac:dyDescent="0.35">
      <c r="A49">
        <v>2170124</v>
      </c>
      <c r="B49" t="s">
        <v>268</v>
      </c>
      <c r="C49" s="152" t="s">
        <v>2962</v>
      </c>
      <c r="D49" t="s">
        <v>2711</v>
      </c>
      <c r="E49" t="s">
        <v>2712</v>
      </c>
      <c r="F49" t="s">
        <v>2278</v>
      </c>
      <c r="H49" t="s">
        <v>1439</v>
      </c>
      <c r="I49" t="s">
        <v>851</v>
      </c>
      <c r="J49">
        <v>2144</v>
      </c>
      <c r="K49" t="s">
        <v>854</v>
      </c>
    </row>
    <row r="50" spans="1:11" x14ac:dyDescent="0.35">
      <c r="A50">
        <v>2170124</v>
      </c>
      <c r="B50" t="s">
        <v>268</v>
      </c>
      <c r="C50" s="152" t="s">
        <v>2962</v>
      </c>
      <c r="D50" t="s">
        <v>2711</v>
      </c>
      <c r="E50" t="s">
        <v>2713</v>
      </c>
      <c r="F50" t="s">
        <v>2278</v>
      </c>
      <c r="H50" t="s">
        <v>1439</v>
      </c>
      <c r="I50" t="s">
        <v>851</v>
      </c>
      <c r="J50">
        <v>2144</v>
      </c>
      <c r="K50" t="s">
        <v>854</v>
      </c>
    </row>
    <row r="51" spans="1:11" x14ac:dyDescent="0.35">
      <c r="A51">
        <v>2170124</v>
      </c>
      <c r="B51" t="s">
        <v>268</v>
      </c>
      <c r="C51" s="152" t="s">
        <v>2962</v>
      </c>
      <c r="D51" t="s">
        <v>2711</v>
      </c>
      <c r="E51" t="s">
        <v>2714</v>
      </c>
      <c r="F51" t="s">
        <v>2278</v>
      </c>
      <c r="H51" t="s">
        <v>1439</v>
      </c>
      <c r="I51" t="s">
        <v>851</v>
      </c>
      <c r="J51">
        <v>2144</v>
      </c>
      <c r="K51" t="s">
        <v>854</v>
      </c>
    </row>
    <row r="52" spans="1:11" x14ac:dyDescent="0.35">
      <c r="A52">
        <v>2170124</v>
      </c>
      <c r="B52" t="s">
        <v>268</v>
      </c>
      <c r="C52" s="152" t="s">
        <v>2962</v>
      </c>
      <c r="D52" t="s">
        <v>2715</v>
      </c>
      <c r="E52" t="s">
        <v>2716</v>
      </c>
      <c r="F52" t="s">
        <v>1433</v>
      </c>
      <c r="H52" t="s">
        <v>1498</v>
      </c>
      <c r="I52" t="s">
        <v>851</v>
      </c>
      <c r="J52">
        <v>2144</v>
      </c>
      <c r="K52" t="s">
        <v>854</v>
      </c>
    </row>
    <row r="53" spans="1:11" x14ac:dyDescent="0.35">
      <c r="A53">
        <v>1116884561</v>
      </c>
      <c r="B53" t="s">
        <v>258</v>
      </c>
      <c r="C53" s="150" t="s">
        <v>2961</v>
      </c>
      <c r="D53" t="s">
        <v>1504</v>
      </c>
      <c r="E53" t="s">
        <v>1925</v>
      </c>
      <c r="F53" t="s">
        <v>1493</v>
      </c>
      <c r="G53" t="s">
        <v>1748</v>
      </c>
      <c r="H53" t="s">
        <v>1498</v>
      </c>
      <c r="I53" t="s">
        <v>722</v>
      </c>
      <c r="J53">
        <v>3322</v>
      </c>
      <c r="K53" t="s">
        <v>725</v>
      </c>
    </row>
    <row r="54" spans="1:11" x14ac:dyDescent="0.35">
      <c r="A54">
        <v>1116884561</v>
      </c>
      <c r="B54" t="s">
        <v>258</v>
      </c>
      <c r="C54" s="150" t="s">
        <v>2961</v>
      </c>
      <c r="D54" t="s">
        <v>1799</v>
      </c>
      <c r="E54" t="s">
        <v>1800</v>
      </c>
      <c r="F54" t="s">
        <v>1493</v>
      </c>
      <c r="G54" t="s">
        <v>1790</v>
      </c>
      <c r="H54" t="s">
        <v>1498</v>
      </c>
      <c r="I54" t="s">
        <v>722</v>
      </c>
      <c r="J54">
        <v>3322</v>
      </c>
      <c r="K54" t="s">
        <v>725</v>
      </c>
    </row>
    <row r="55" spans="1:11" x14ac:dyDescent="0.35">
      <c r="A55">
        <v>1116884561</v>
      </c>
      <c r="B55" t="s">
        <v>258</v>
      </c>
      <c r="C55" s="150" t="s">
        <v>2961</v>
      </c>
      <c r="D55" t="s">
        <v>1533</v>
      </c>
      <c r="E55" t="s">
        <v>1534</v>
      </c>
      <c r="F55" t="s">
        <v>1493</v>
      </c>
      <c r="G55" t="s">
        <v>1522</v>
      </c>
      <c r="H55" t="s">
        <v>1498</v>
      </c>
      <c r="I55" t="s">
        <v>722</v>
      </c>
      <c r="J55">
        <v>3322</v>
      </c>
      <c r="K55" t="s">
        <v>725</v>
      </c>
    </row>
    <row r="56" spans="1:11" x14ac:dyDescent="0.35">
      <c r="A56">
        <v>1116884561</v>
      </c>
      <c r="B56" t="s">
        <v>258</v>
      </c>
      <c r="C56" s="150" t="s">
        <v>2961</v>
      </c>
      <c r="D56" t="s">
        <v>1736</v>
      </c>
      <c r="E56" t="s">
        <v>1495</v>
      </c>
      <c r="F56" t="s">
        <v>1493</v>
      </c>
      <c r="G56" t="s">
        <v>1494</v>
      </c>
      <c r="H56" t="s">
        <v>1498</v>
      </c>
      <c r="I56" t="s">
        <v>722</v>
      </c>
      <c r="J56">
        <v>3322</v>
      </c>
      <c r="K56" t="s">
        <v>725</v>
      </c>
    </row>
    <row r="57" spans="1:11" x14ac:dyDescent="0.35">
      <c r="A57">
        <v>1116884561</v>
      </c>
      <c r="B57" t="s">
        <v>258</v>
      </c>
      <c r="C57" s="150" t="s">
        <v>2961</v>
      </c>
      <c r="D57" t="s">
        <v>1742</v>
      </c>
      <c r="E57" t="s">
        <v>1743</v>
      </c>
      <c r="F57" t="s">
        <v>1493</v>
      </c>
      <c r="G57" t="s">
        <v>1500</v>
      </c>
      <c r="H57" t="s">
        <v>1498</v>
      </c>
      <c r="I57" t="s">
        <v>722</v>
      </c>
      <c r="J57">
        <v>3322</v>
      </c>
      <c r="K57" t="s">
        <v>725</v>
      </c>
    </row>
    <row r="58" spans="1:11" x14ac:dyDescent="0.35">
      <c r="A58">
        <v>1116884561</v>
      </c>
      <c r="B58" t="s">
        <v>258</v>
      </c>
      <c r="C58" s="150" t="s">
        <v>2961</v>
      </c>
      <c r="D58" t="s">
        <v>1811</v>
      </c>
      <c r="E58" t="s">
        <v>1541</v>
      </c>
      <c r="F58" t="s">
        <v>1493</v>
      </c>
      <c r="G58" t="s">
        <v>1540</v>
      </c>
      <c r="H58" t="s">
        <v>1498</v>
      </c>
      <c r="I58" t="s">
        <v>722</v>
      </c>
      <c r="J58">
        <v>3322</v>
      </c>
      <c r="K58" t="s">
        <v>725</v>
      </c>
    </row>
    <row r="59" spans="1:11" x14ac:dyDescent="0.35">
      <c r="A59">
        <v>1116884561</v>
      </c>
      <c r="B59" t="s">
        <v>258</v>
      </c>
      <c r="C59" s="152" t="s">
        <v>2962</v>
      </c>
      <c r="D59" t="s">
        <v>2929</v>
      </c>
      <c r="E59" t="s">
        <v>2930</v>
      </c>
      <c r="F59" t="s">
        <v>1922</v>
      </c>
      <c r="H59" t="s">
        <v>1498</v>
      </c>
      <c r="I59" t="s">
        <v>722</v>
      </c>
      <c r="J59">
        <v>3322</v>
      </c>
      <c r="K59" t="s">
        <v>725</v>
      </c>
    </row>
    <row r="60" spans="1:11" x14ac:dyDescent="0.35">
      <c r="A60">
        <v>1116884561</v>
      </c>
      <c r="B60" t="s">
        <v>258</v>
      </c>
      <c r="C60" s="152" t="s">
        <v>2962</v>
      </c>
      <c r="D60" t="s">
        <v>2929</v>
      </c>
      <c r="E60" t="s">
        <v>2931</v>
      </c>
      <c r="F60" t="s">
        <v>1922</v>
      </c>
      <c r="H60" t="s">
        <v>1498</v>
      </c>
      <c r="I60" t="s">
        <v>722</v>
      </c>
      <c r="J60">
        <v>3322</v>
      </c>
      <c r="K60" t="s">
        <v>725</v>
      </c>
    </row>
    <row r="61" spans="1:11" x14ac:dyDescent="0.35">
      <c r="A61">
        <v>1116884561</v>
      </c>
      <c r="B61" t="s">
        <v>258</v>
      </c>
      <c r="C61" s="152" t="s">
        <v>2962</v>
      </c>
      <c r="D61" t="s">
        <v>2932</v>
      </c>
      <c r="E61" t="s">
        <v>2933</v>
      </c>
      <c r="F61" t="s">
        <v>1433</v>
      </c>
      <c r="H61" t="s">
        <v>1498</v>
      </c>
      <c r="I61" t="s">
        <v>722</v>
      </c>
      <c r="J61">
        <v>3322</v>
      </c>
      <c r="K61" t="s">
        <v>725</v>
      </c>
    </row>
    <row r="62" spans="1:11" x14ac:dyDescent="0.35">
      <c r="A62">
        <v>1116884561</v>
      </c>
      <c r="B62" t="s">
        <v>258</v>
      </c>
      <c r="C62" s="152" t="s">
        <v>2962</v>
      </c>
      <c r="D62" t="s">
        <v>2932</v>
      </c>
      <c r="E62" t="s">
        <v>2934</v>
      </c>
      <c r="F62" t="s">
        <v>1433</v>
      </c>
      <c r="H62" t="s">
        <v>1498</v>
      </c>
      <c r="I62" t="s">
        <v>722</v>
      </c>
      <c r="J62">
        <v>3322</v>
      </c>
      <c r="K62" t="s">
        <v>725</v>
      </c>
    </row>
    <row r="63" spans="1:11" x14ac:dyDescent="0.35">
      <c r="A63">
        <v>1116884561</v>
      </c>
      <c r="B63" t="s">
        <v>258</v>
      </c>
      <c r="C63" s="152" t="s">
        <v>2962</v>
      </c>
      <c r="D63" t="s">
        <v>2935</v>
      </c>
      <c r="E63" t="s">
        <v>2936</v>
      </c>
      <c r="F63" t="s">
        <v>1433</v>
      </c>
      <c r="H63" t="s">
        <v>1498</v>
      </c>
      <c r="I63" t="s">
        <v>722</v>
      </c>
      <c r="J63">
        <v>3322</v>
      </c>
      <c r="K63" t="s">
        <v>725</v>
      </c>
    </row>
    <row r="64" spans="1:11" x14ac:dyDescent="0.35">
      <c r="A64">
        <v>1116884561</v>
      </c>
      <c r="B64" t="s">
        <v>258</v>
      </c>
      <c r="C64" s="152" t="s">
        <v>2962</v>
      </c>
      <c r="D64" t="s">
        <v>2935</v>
      </c>
      <c r="E64" t="s">
        <v>2937</v>
      </c>
      <c r="F64" t="s">
        <v>1433</v>
      </c>
      <c r="H64" t="s">
        <v>1498</v>
      </c>
      <c r="I64" t="s">
        <v>722</v>
      </c>
      <c r="J64">
        <v>3322</v>
      </c>
      <c r="K64" t="s">
        <v>725</v>
      </c>
    </row>
    <row r="65" spans="1:11" x14ac:dyDescent="0.35">
      <c r="A65">
        <v>1116884561</v>
      </c>
      <c r="B65" t="s">
        <v>258</v>
      </c>
      <c r="C65" s="152" t="s">
        <v>2962</v>
      </c>
      <c r="D65" t="s">
        <v>2938</v>
      </c>
      <c r="E65" t="s">
        <v>2586</v>
      </c>
      <c r="F65" t="s">
        <v>1433</v>
      </c>
      <c r="H65" t="s">
        <v>1498</v>
      </c>
      <c r="I65" t="s">
        <v>722</v>
      </c>
      <c r="J65">
        <v>3322</v>
      </c>
      <c r="K65" t="s">
        <v>725</v>
      </c>
    </row>
    <row r="66" spans="1:11" x14ac:dyDescent="0.35">
      <c r="A66">
        <v>1116884561</v>
      </c>
      <c r="B66" t="s">
        <v>258</v>
      </c>
      <c r="C66" s="152" t="s">
        <v>2962</v>
      </c>
      <c r="D66" t="s">
        <v>2938</v>
      </c>
      <c r="E66" t="s">
        <v>2939</v>
      </c>
      <c r="F66" t="s">
        <v>1433</v>
      </c>
      <c r="H66" t="s">
        <v>1498</v>
      </c>
      <c r="I66" t="s">
        <v>722</v>
      </c>
      <c r="J66">
        <v>3322</v>
      </c>
      <c r="K66" t="s">
        <v>725</v>
      </c>
    </row>
    <row r="67" spans="1:11" x14ac:dyDescent="0.35">
      <c r="A67">
        <v>1116898892</v>
      </c>
      <c r="B67" t="s">
        <v>204</v>
      </c>
      <c r="C67" s="150" t="s">
        <v>2961</v>
      </c>
      <c r="D67" t="s">
        <v>1678</v>
      </c>
      <c r="E67" t="s">
        <v>1963</v>
      </c>
      <c r="F67" t="s">
        <v>1433</v>
      </c>
      <c r="G67" t="s">
        <v>1558</v>
      </c>
      <c r="H67" t="s">
        <v>1498</v>
      </c>
      <c r="I67" t="s">
        <v>2002</v>
      </c>
      <c r="J67">
        <v>8322</v>
      </c>
      <c r="K67" t="s">
        <v>818</v>
      </c>
    </row>
    <row r="68" spans="1:11" x14ac:dyDescent="0.35">
      <c r="A68">
        <v>1116898892</v>
      </c>
      <c r="B68" t="s">
        <v>204</v>
      </c>
      <c r="C68" s="150" t="s">
        <v>2961</v>
      </c>
      <c r="D68" t="s">
        <v>1855</v>
      </c>
      <c r="E68" t="s">
        <v>1857</v>
      </c>
      <c r="F68" t="s">
        <v>1493</v>
      </c>
      <c r="G68" t="s">
        <v>1856</v>
      </c>
      <c r="H68" t="s">
        <v>1498</v>
      </c>
      <c r="I68" t="s">
        <v>2002</v>
      </c>
      <c r="J68">
        <v>8322</v>
      </c>
      <c r="K68" t="s">
        <v>818</v>
      </c>
    </row>
    <row r="69" spans="1:11" x14ac:dyDescent="0.35">
      <c r="A69">
        <v>1116898892</v>
      </c>
      <c r="B69" t="s">
        <v>204</v>
      </c>
      <c r="C69" s="150" t="s">
        <v>2961</v>
      </c>
      <c r="D69" t="s">
        <v>1804</v>
      </c>
      <c r="E69" t="s">
        <v>1805</v>
      </c>
      <c r="F69" t="s">
        <v>1493</v>
      </c>
      <c r="G69" t="s">
        <v>1790</v>
      </c>
      <c r="H69" t="s">
        <v>1498</v>
      </c>
      <c r="I69" t="s">
        <v>2002</v>
      </c>
      <c r="J69">
        <v>8322</v>
      </c>
      <c r="K69" t="s">
        <v>818</v>
      </c>
    </row>
    <row r="70" spans="1:11" x14ac:dyDescent="0.35">
      <c r="A70">
        <v>1116898892</v>
      </c>
      <c r="B70" t="s">
        <v>204</v>
      </c>
      <c r="C70" s="150" t="s">
        <v>2961</v>
      </c>
      <c r="D70" t="s">
        <v>1780</v>
      </c>
      <c r="E70" t="s">
        <v>1775</v>
      </c>
      <c r="F70" t="s">
        <v>1493</v>
      </c>
      <c r="G70" t="s">
        <v>1774</v>
      </c>
      <c r="H70" t="s">
        <v>1498</v>
      </c>
      <c r="I70" t="s">
        <v>2002</v>
      </c>
      <c r="J70">
        <v>8322</v>
      </c>
      <c r="K70" t="s">
        <v>818</v>
      </c>
    </row>
    <row r="71" spans="1:11" x14ac:dyDescent="0.35">
      <c r="A71">
        <v>1116898892</v>
      </c>
      <c r="B71" t="s">
        <v>204</v>
      </c>
      <c r="C71" s="152" t="s">
        <v>2962</v>
      </c>
      <c r="D71" t="s">
        <v>2766</v>
      </c>
      <c r="E71" t="s">
        <v>2767</v>
      </c>
      <c r="F71" t="s">
        <v>1433</v>
      </c>
      <c r="H71" t="s">
        <v>1498</v>
      </c>
      <c r="I71" t="s">
        <v>2002</v>
      </c>
      <c r="J71">
        <v>8322</v>
      </c>
      <c r="K71" t="s">
        <v>818</v>
      </c>
    </row>
    <row r="72" spans="1:11" x14ac:dyDescent="0.35">
      <c r="A72">
        <v>1116898892</v>
      </c>
      <c r="B72" t="s">
        <v>204</v>
      </c>
      <c r="C72" s="152" t="s">
        <v>2962</v>
      </c>
      <c r="D72" t="s">
        <v>2766</v>
      </c>
      <c r="E72" t="s">
        <v>2768</v>
      </c>
      <c r="F72" t="s">
        <v>1433</v>
      </c>
      <c r="H72" t="s">
        <v>1498</v>
      </c>
      <c r="I72" t="s">
        <v>2002</v>
      </c>
      <c r="J72">
        <v>8322</v>
      </c>
      <c r="K72" t="s">
        <v>818</v>
      </c>
    </row>
    <row r="73" spans="1:11" x14ac:dyDescent="0.35">
      <c r="A73">
        <v>1116898892</v>
      </c>
      <c r="B73" t="s">
        <v>204</v>
      </c>
      <c r="C73" s="152" t="s">
        <v>2962</v>
      </c>
      <c r="D73" t="s">
        <v>2769</v>
      </c>
      <c r="E73" t="s">
        <v>2770</v>
      </c>
      <c r="F73" t="s">
        <v>1433</v>
      </c>
      <c r="H73" t="s">
        <v>1498</v>
      </c>
      <c r="I73" t="s">
        <v>2002</v>
      </c>
      <c r="J73">
        <v>8322</v>
      </c>
      <c r="K73" t="s">
        <v>818</v>
      </c>
    </row>
    <row r="74" spans="1:11" x14ac:dyDescent="0.35">
      <c r="A74">
        <v>1116898892</v>
      </c>
      <c r="B74" t="s">
        <v>204</v>
      </c>
      <c r="C74" s="152" t="s">
        <v>2962</v>
      </c>
      <c r="D74" t="s">
        <v>2769</v>
      </c>
      <c r="E74" t="s">
        <v>2771</v>
      </c>
      <c r="F74" t="s">
        <v>1433</v>
      </c>
      <c r="H74" t="s">
        <v>1498</v>
      </c>
      <c r="I74" t="s">
        <v>2002</v>
      </c>
      <c r="J74">
        <v>8322</v>
      </c>
      <c r="K74" t="s">
        <v>818</v>
      </c>
    </row>
    <row r="75" spans="1:11" x14ac:dyDescent="0.35">
      <c r="A75">
        <v>1116898892</v>
      </c>
      <c r="B75" t="s">
        <v>204</v>
      </c>
      <c r="C75" s="152" t="s">
        <v>2962</v>
      </c>
      <c r="D75" t="s">
        <v>2772</v>
      </c>
      <c r="E75" t="s">
        <v>2773</v>
      </c>
      <c r="F75" t="s">
        <v>1493</v>
      </c>
      <c r="H75" t="s">
        <v>1498</v>
      </c>
      <c r="I75" t="s">
        <v>2002</v>
      </c>
      <c r="J75">
        <v>8322</v>
      </c>
      <c r="K75" t="s">
        <v>818</v>
      </c>
    </row>
    <row r="76" spans="1:11" x14ac:dyDescent="0.35">
      <c r="A76">
        <v>1116898892</v>
      </c>
      <c r="B76" t="s">
        <v>204</v>
      </c>
      <c r="C76" s="152" t="s">
        <v>2962</v>
      </c>
      <c r="D76" t="s">
        <v>2772</v>
      </c>
      <c r="E76" t="s">
        <v>2774</v>
      </c>
      <c r="F76" t="s">
        <v>1433</v>
      </c>
      <c r="H76" t="s">
        <v>1498</v>
      </c>
      <c r="I76" t="s">
        <v>2002</v>
      </c>
      <c r="J76">
        <v>8322</v>
      </c>
      <c r="K76" t="s">
        <v>818</v>
      </c>
    </row>
    <row r="77" spans="1:11" x14ac:dyDescent="0.35">
      <c r="A77">
        <v>1116898892</v>
      </c>
      <c r="B77" t="s">
        <v>204</v>
      </c>
      <c r="C77" s="152" t="s">
        <v>2962</v>
      </c>
      <c r="D77" t="s">
        <v>2775</v>
      </c>
      <c r="E77" t="s">
        <v>2776</v>
      </c>
      <c r="F77" t="s">
        <v>1433</v>
      </c>
      <c r="H77" t="s">
        <v>1498</v>
      </c>
      <c r="I77" t="s">
        <v>2002</v>
      </c>
      <c r="J77">
        <v>8322</v>
      </c>
      <c r="K77" t="s">
        <v>818</v>
      </c>
    </row>
    <row r="78" spans="1:11" x14ac:dyDescent="0.35">
      <c r="A78">
        <v>1116898892</v>
      </c>
      <c r="B78" t="s">
        <v>204</v>
      </c>
      <c r="C78" s="152" t="s">
        <v>2962</v>
      </c>
      <c r="D78" t="s">
        <v>2775</v>
      </c>
      <c r="E78" t="s">
        <v>2777</v>
      </c>
      <c r="F78" t="s">
        <v>2278</v>
      </c>
      <c r="H78" t="s">
        <v>1439</v>
      </c>
      <c r="I78" t="s">
        <v>2002</v>
      </c>
      <c r="J78">
        <v>8322</v>
      </c>
      <c r="K78" t="s">
        <v>818</v>
      </c>
    </row>
    <row r="79" spans="1:11" x14ac:dyDescent="0.35">
      <c r="A79">
        <v>1116898892</v>
      </c>
      <c r="B79" t="s">
        <v>204</v>
      </c>
      <c r="C79" s="152" t="s">
        <v>2962</v>
      </c>
      <c r="D79" t="s">
        <v>2775</v>
      </c>
      <c r="E79" t="s">
        <v>2778</v>
      </c>
      <c r="F79" t="s">
        <v>1433</v>
      </c>
      <c r="H79" t="s">
        <v>1498</v>
      </c>
      <c r="I79" t="s">
        <v>2002</v>
      </c>
      <c r="J79">
        <v>8322</v>
      </c>
      <c r="K79" t="s">
        <v>818</v>
      </c>
    </row>
    <row r="80" spans="1:11" x14ac:dyDescent="0.35">
      <c r="A80">
        <v>1117960588</v>
      </c>
      <c r="B80" t="s">
        <v>142</v>
      </c>
      <c r="C80" s="150" t="s">
        <v>2961</v>
      </c>
      <c r="D80" t="s">
        <v>1955</v>
      </c>
      <c r="E80" t="s">
        <v>1443</v>
      </c>
      <c r="F80" t="s">
        <v>1433</v>
      </c>
      <c r="G80" t="s">
        <v>1434</v>
      </c>
      <c r="H80" t="s">
        <v>1439</v>
      </c>
      <c r="I80" t="s">
        <v>775</v>
      </c>
      <c r="J80">
        <v>3343</v>
      </c>
      <c r="K80" t="s">
        <v>778</v>
      </c>
    </row>
    <row r="81" spans="1:11" x14ac:dyDescent="0.35">
      <c r="A81">
        <v>1117960588</v>
      </c>
      <c r="B81" t="s">
        <v>142</v>
      </c>
      <c r="C81" s="150" t="s">
        <v>2961</v>
      </c>
      <c r="D81" t="s">
        <v>1614</v>
      </c>
      <c r="E81" t="s">
        <v>1937</v>
      </c>
      <c r="F81" t="s">
        <v>1433</v>
      </c>
      <c r="G81" t="s">
        <v>1434</v>
      </c>
      <c r="H81" t="s">
        <v>1439</v>
      </c>
      <c r="I81" t="s">
        <v>775</v>
      </c>
      <c r="J81">
        <v>3343</v>
      </c>
      <c r="K81" t="s">
        <v>778</v>
      </c>
    </row>
    <row r="82" spans="1:11" x14ac:dyDescent="0.35">
      <c r="A82">
        <v>1117960588</v>
      </c>
      <c r="B82" t="s">
        <v>142</v>
      </c>
      <c r="C82" s="150" t="s">
        <v>2961</v>
      </c>
      <c r="D82" t="s">
        <v>1441</v>
      </c>
      <c r="E82" t="s">
        <v>1937</v>
      </c>
      <c r="F82" t="s">
        <v>1433</v>
      </c>
      <c r="G82" t="s">
        <v>1434</v>
      </c>
      <c r="H82" t="s">
        <v>1439</v>
      </c>
      <c r="I82" t="s">
        <v>775</v>
      </c>
      <c r="J82">
        <v>3343</v>
      </c>
      <c r="K82" t="s">
        <v>778</v>
      </c>
    </row>
    <row r="83" spans="1:11" x14ac:dyDescent="0.35">
      <c r="A83">
        <v>1117960588</v>
      </c>
      <c r="B83" t="s">
        <v>142</v>
      </c>
      <c r="C83" s="150" t="s">
        <v>2961</v>
      </c>
      <c r="D83" t="s">
        <v>1741</v>
      </c>
      <c r="E83" t="s">
        <v>1501</v>
      </c>
      <c r="F83" t="s">
        <v>1493</v>
      </c>
      <c r="G83" t="s">
        <v>1500</v>
      </c>
      <c r="H83" t="s">
        <v>1498</v>
      </c>
      <c r="I83" t="s">
        <v>775</v>
      </c>
      <c r="J83">
        <v>3343</v>
      </c>
      <c r="K83" t="s">
        <v>778</v>
      </c>
    </row>
    <row r="84" spans="1:11" x14ac:dyDescent="0.35">
      <c r="A84">
        <v>1117960588</v>
      </c>
      <c r="B84" t="s">
        <v>142</v>
      </c>
      <c r="C84" s="150" t="s">
        <v>2961</v>
      </c>
      <c r="D84" t="s">
        <v>1528</v>
      </c>
      <c r="E84" t="s">
        <v>1530</v>
      </c>
      <c r="F84" t="s">
        <v>1922</v>
      </c>
      <c r="G84" t="s">
        <v>1921</v>
      </c>
      <c r="H84" t="s">
        <v>1498</v>
      </c>
      <c r="I84" t="s">
        <v>775</v>
      </c>
      <c r="J84">
        <v>3343</v>
      </c>
      <c r="K84" t="s">
        <v>778</v>
      </c>
    </row>
    <row r="85" spans="1:11" x14ac:dyDescent="0.35">
      <c r="A85">
        <v>1117960588</v>
      </c>
      <c r="B85" t="s">
        <v>142</v>
      </c>
      <c r="C85" s="152" t="s">
        <v>2962</v>
      </c>
      <c r="D85" t="s">
        <v>2880</v>
      </c>
      <c r="E85" t="s">
        <v>2516</v>
      </c>
      <c r="F85" t="s">
        <v>1433</v>
      </c>
      <c r="H85" t="s">
        <v>1498</v>
      </c>
      <c r="I85" t="s">
        <v>775</v>
      </c>
      <c r="J85">
        <v>3343</v>
      </c>
      <c r="K85" t="s">
        <v>778</v>
      </c>
    </row>
    <row r="86" spans="1:11" x14ac:dyDescent="0.35">
      <c r="A86">
        <v>1117960588</v>
      </c>
      <c r="B86" t="s">
        <v>142</v>
      </c>
      <c r="C86" s="152" t="s">
        <v>2962</v>
      </c>
      <c r="D86" t="s">
        <v>2880</v>
      </c>
      <c r="E86" t="s">
        <v>2881</v>
      </c>
      <c r="F86" t="s">
        <v>1433</v>
      </c>
      <c r="H86" t="s">
        <v>1498</v>
      </c>
      <c r="I86" t="s">
        <v>775</v>
      </c>
      <c r="J86">
        <v>3343</v>
      </c>
      <c r="K86" t="s">
        <v>778</v>
      </c>
    </row>
    <row r="87" spans="1:11" x14ac:dyDescent="0.35">
      <c r="A87">
        <v>1117960588</v>
      </c>
      <c r="B87" t="s">
        <v>142</v>
      </c>
      <c r="C87" s="152" t="s">
        <v>2962</v>
      </c>
      <c r="D87" t="s">
        <v>2882</v>
      </c>
      <c r="E87" t="s">
        <v>2518</v>
      </c>
      <c r="F87" t="s">
        <v>1922</v>
      </c>
      <c r="H87" t="s">
        <v>1498</v>
      </c>
      <c r="I87" t="s">
        <v>775</v>
      </c>
      <c r="J87">
        <v>3343</v>
      </c>
      <c r="K87" t="s">
        <v>778</v>
      </c>
    </row>
    <row r="88" spans="1:11" x14ac:dyDescent="0.35">
      <c r="A88">
        <v>1117960588</v>
      </c>
      <c r="B88" t="s">
        <v>142</v>
      </c>
      <c r="C88" s="152" t="s">
        <v>2962</v>
      </c>
      <c r="D88" t="s">
        <v>2882</v>
      </c>
      <c r="E88" t="s">
        <v>2510</v>
      </c>
      <c r="F88" t="s">
        <v>1922</v>
      </c>
      <c r="H88" t="s">
        <v>1498</v>
      </c>
      <c r="I88" t="s">
        <v>775</v>
      </c>
      <c r="J88">
        <v>3343</v>
      </c>
      <c r="K88" t="s">
        <v>778</v>
      </c>
    </row>
    <row r="89" spans="1:11" x14ac:dyDescent="0.35">
      <c r="A89">
        <v>1117960588</v>
      </c>
      <c r="B89" t="s">
        <v>142</v>
      </c>
      <c r="C89" s="152" t="s">
        <v>2962</v>
      </c>
      <c r="D89" t="s">
        <v>2883</v>
      </c>
      <c r="E89" t="s">
        <v>2648</v>
      </c>
      <c r="F89" t="s">
        <v>1433</v>
      </c>
      <c r="H89" t="s">
        <v>1498</v>
      </c>
      <c r="I89" t="s">
        <v>775</v>
      </c>
      <c r="J89">
        <v>3343</v>
      </c>
      <c r="K89" t="s">
        <v>778</v>
      </c>
    </row>
    <row r="90" spans="1:11" x14ac:dyDescent="0.35">
      <c r="A90">
        <v>1117960588</v>
      </c>
      <c r="B90" t="s">
        <v>142</v>
      </c>
      <c r="C90" s="152" t="s">
        <v>2962</v>
      </c>
      <c r="D90" t="s">
        <v>2883</v>
      </c>
      <c r="E90" t="s">
        <v>2884</v>
      </c>
      <c r="F90" t="s">
        <v>1433</v>
      </c>
      <c r="H90" t="s">
        <v>1498</v>
      </c>
      <c r="I90" t="s">
        <v>775</v>
      </c>
      <c r="J90">
        <v>3343</v>
      </c>
      <c r="K90" t="s">
        <v>778</v>
      </c>
    </row>
    <row r="91" spans="1:11" x14ac:dyDescent="0.35">
      <c r="A91">
        <v>1117960588</v>
      </c>
      <c r="B91" t="s">
        <v>142</v>
      </c>
      <c r="C91" s="152" t="s">
        <v>2962</v>
      </c>
      <c r="D91" t="s">
        <v>2885</v>
      </c>
      <c r="E91" t="s">
        <v>2886</v>
      </c>
      <c r="F91" t="s">
        <v>1433</v>
      </c>
      <c r="H91" t="s">
        <v>1498</v>
      </c>
      <c r="I91" t="s">
        <v>775</v>
      </c>
      <c r="J91">
        <v>3343</v>
      </c>
      <c r="K91" t="s">
        <v>778</v>
      </c>
    </row>
    <row r="92" spans="1:11" x14ac:dyDescent="0.35">
      <c r="A92">
        <v>1117960588</v>
      </c>
      <c r="B92" t="s">
        <v>142</v>
      </c>
      <c r="C92" s="152" t="s">
        <v>2962</v>
      </c>
      <c r="D92" t="s">
        <v>2885</v>
      </c>
      <c r="E92" t="s">
        <v>2887</v>
      </c>
      <c r="F92" t="s">
        <v>1433</v>
      </c>
      <c r="H92" t="s">
        <v>1498</v>
      </c>
      <c r="I92" t="s">
        <v>775</v>
      </c>
      <c r="J92">
        <v>3343</v>
      </c>
      <c r="K92" t="s">
        <v>778</v>
      </c>
    </row>
    <row r="93" spans="1:11" x14ac:dyDescent="0.35">
      <c r="A93">
        <v>1117961954</v>
      </c>
      <c r="B93" t="s">
        <v>226</v>
      </c>
      <c r="C93" s="150" t="s">
        <v>2961</v>
      </c>
      <c r="D93" t="s">
        <v>1964</v>
      </c>
      <c r="E93" t="s">
        <v>1443</v>
      </c>
      <c r="F93" t="s">
        <v>1433</v>
      </c>
      <c r="G93" t="s">
        <v>1434</v>
      </c>
      <c r="H93" t="s">
        <v>1439</v>
      </c>
      <c r="I93" t="s">
        <v>775</v>
      </c>
      <c r="J93">
        <v>3343</v>
      </c>
      <c r="K93" t="s">
        <v>778</v>
      </c>
    </row>
    <row r="94" spans="1:11" x14ac:dyDescent="0.35">
      <c r="A94">
        <v>1117961954</v>
      </c>
      <c r="B94" t="s">
        <v>226</v>
      </c>
      <c r="C94" s="150" t="s">
        <v>2961</v>
      </c>
      <c r="D94" t="s">
        <v>1768</v>
      </c>
      <c r="E94" t="s">
        <v>1515</v>
      </c>
      <c r="F94" t="s">
        <v>1493</v>
      </c>
      <c r="G94" t="s">
        <v>1514</v>
      </c>
      <c r="H94" t="s">
        <v>1498</v>
      </c>
      <c r="I94" t="s">
        <v>775</v>
      </c>
      <c r="J94">
        <v>3343</v>
      </c>
      <c r="K94" t="s">
        <v>778</v>
      </c>
    </row>
    <row r="95" spans="1:11" x14ac:dyDescent="0.35">
      <c r="A95">
        <v>1117961954</v>
      </c>
      <c r="B95" t="s">
        <v>226</v>
      </c>
      <c r="C95" s="150" t="s">
        <v>2961</v>
      </c>
      <c r="D95" t="s">
        <v>1793</v>
      </c>
      <c r="E95" t="s">
        <v>1537</v>
      </c>
      <c r="F95" t="s">
        <v>1493</v>
      </c>
      <c r="G95" t="s">
        <v>1790</v>
      </c>
      <c r="H95" t="s">
        <v>1498</v>
      </c>
      <c r="I95" t="s">
        <v>775</v>
      </c>
      <c r="J95">
        <v>3343</v>
      </c>
      <c r="K95" t="s">
        <v>778</v>
      </c>
    </row>
    <row r="96" spans="1:11" x14ac:dyDescent="0.35">
      <c r="A96">
        <v>1117961954</v>
      </c>
      <c r="B96" t="s">
        <v>226</v>
      </c>
      <c r="C96" s="152" t="s">
        <v>2962</v>
      </c>
      <c r="D96" t="s">
        <v>2917</v>
      </c>
      <c r="E96" t="s">
        <v>2918</v>
      </c>
      <c r="F96" t="s">
        <v>1433</v>
      </c>
      <c r="H96" t="s">
        <v>1498</v>
      </c>
      <c r="I96" t="s">
        <v>775</v>
      </c>
      <c r="J96">
        <v>3343</v>
      </c>
      <c r="K96" t="s">
        <v>778</v>
      </c>
    </row>
    <row r="97" spans="1:11" x14ac:dyDescent="0.35">
      <c r="A97">
        <v>1117961954</v>
      </c>
      <c r="B97" t="s">
        <v>226</v>
      </c>
      <c r="C97" s="152" t="s">
        <v>2962</v>
      </c>
      <c r="D97" t="s">
        <v>2917</v>
      </c>
      <c r="E97" t="s">
        <v>2919</v>
      </c>
      <c r="F97" t="s">
        <v>1433</v>
      </c>
      <c r="H97" t="s">
        <v>1498</v>
      </c>
      <c r="I97" t="s">
        <v>775</v>
      </c>
      <c r="J97">
        <v>3343</v>
      </c>
      <c r="K97" t="s">
        <v>778</v>
      </c>
    </row>
    <row r="98" spans="1:11" x14ac:dyDescent="0.35">
      <c r="A98">
        <v>1117961954</v>
      </c>
      <c r="B98" t="s">
        <v>226</v>
      </c>
      <c r="C98" s="152" t="s">
        <v>2962</v>
      </c>
      <c r="D98" t="s">
        <v>2920</v>
      </c>
      <c r="E98" t="s">
        <v>2921</v>
      </c>
      <c r="F98" t="s">
        <v>1433</v>
      </c>
      <c r="H98" t="s">
        <v>1498</v>
      </c>
      <c r="I98" t="s">
        <v>775</v>
      </c>
      <c r="J98">
        <v>3343</v>
      </c>
      <c r="K98" t="s">
        <v>778</v>
      </c>
    </row>
    <row r="99" spans="1:11" x14ac:dyDescent="0.35">
      <c r="A99">
        <v>1117961954</v>
      </c>
      <c r="B99" t="s">
        <v>226</v>
      </c>
      <c r="C99" s="152" t="s">
        <v>2962</v>
      </c>
      <c r="D99" t="s">
        <v>2920</v>
      </c>
      <c r="E99" t="s">
        <v>2922</v>
      </c>
      <c r="F99" t="s">
        <v>1917</v>
      </c>
      <c r="H99" t="s">
        <v>1498</v>
      </c>
      <c r="I99" t="s">
        <v>775</v>
      </c>
      <c r="J99">
        <v>3343</v>
      </c>
      <c r="K99" t="s">
        <v>778</v>
      </c>
    </row>
    <row r="100" spans="1:11" x14ac:dyDescent="0.35">
      <c r="A100">
        <v>1117961954</v>
      </c>
      <c r="B100" t="s">
        <v>226</v>
      </c>
      <c r="C100" s="152" t="s">
        <v>2962</v>
      </c>
      <c r="D100" t="s">
        <v>2923</v>
      </c>
      <c r="E100" t="s">
        <v>2924</v>
      </c>
      <c r="F100" t="s">
        <v>1433</v>
      </c>
      <c r="H100" t="s">
        <v>1498</v>
      </c>
      <c r="I100" t="s">
        <v>775</v>
      </c>
      <c r="J100">
        <v>3343</v>
      </c>
      <c r="K100" t="s">
        <v>778</v>
      </c>
    </row>
    <row r="101" spans="1:11" x14ac:dyDescent="0.35">
      <c r="A101">
        <v>1117961954</v>
      </c>
      <c r="B101" t="s">
        <v>226</v>
      </c>
      <c r="C101" s="152" t="s">
        <v>2962</v>
      </c>
      <c r="D101" t="s">
        <v>2923</v>
      </c>
      <c r="E101" t="s">
        <v>1717</v>
      </c>
      <c r="F101" t="s">
        <v>2278</v>
      </c>
      <c r="H101" t="s">
        <v>1439</v>
      </c>
      <c r="I101" t="s">
        <v>775</v>
      </c>
      <c r="J101">
        <v>3343</v>
      </c>
      <c r="K101" t="s">
        <v>778</v>
      </c>
    </row>
    <row r="102" spans="1:11" x14ac:dyDescent="0.35">
      <c r="A102">
        <v>1117961954</v>
      </c>
      <c r="B102" t="s">
        <v>226</v>
      </c>
      <c r="C102" s="152" t="s">
        <v>2962</v>
      </c>
      <c r="D102" t="s">
        <v>2925</v>
      </c>
      <c r="E102" t="s">
        <v>2926</v>
      </c>
      <c r="F102" t="s">
        <v>1433</v>
      </c>
      <c r="H102" t="s">
        <v>1498</v>
      </c>
      <c r="I102" t="s">
        <v>775</v>
      </c>
      <c r="J102">
        <v>3343</v>
      </c>
      <c r="K102" t="s">
        <v>778</v>
      </c>
    </row>
    <row r="103" spans="1:11" x14ac:dyDescent="0.35">
      <c r="A103">
        <v>1117961954</v>
      </c>
      <c r="B103" t="s">
        <v>226</v>
      </c>
      <c r="C103" s="152" t="s">
        <v>2962</v>
      </c>
      <c r="D103" t="s">
        <v>2925</v>
      </c>
      <c r="E103" t="s">
        <v>2927</v>
      </c>
      <c r="F103" t="s">
        <v>1433</v>
      </c>
      <c r="H103" t="s">
        <v>1498</v>
      </c>
      <c r="I103" t="s">
        <v>775</v>
      </c>
      <c r="J103">
        <v>3343</v>
      </c>
      <c r="K103" t="s">
        <v>778</v>
      </c>
    </row>
    <row r="104" spans="1:11" x14ac:dyDescent="0.35">
      <c r="A104">
        <v>1117975249</v>
      </c>
      <c r="B104" t="s">
        <v>638</v>
      </c>
      <c r="C104" s="150" t="s">
        <v>2961</v>
      </c>
      <c r="D104" t="s">
        <v>1819</v>
      </c>
      <c r="E104" t="s">
        <v>1821</v>
      </c>
      <c r="F104" t="s">
        <v>1493</v>
      </c>
      <c r="G104" t="s">
        <v>1820</v>
      </c>
      <c r="H104" t="s">
        <v>1498</v>
      </c>
      <c r="I104" t="s">
        <v>856</v>
      </c>
      <c r="J104">
        <v>1219</v>
      </c>
      <c r="K104" t="s">
        <v>2006</v>
      </c>
    </row>
    <row r="105" spans="1:11" x14ac:dyDescent="0.35">
      <c r="A105">
        <v>1117975249</v>
      </c>
      <c r="B105" t="s">
        <v>638</v>
      </c>
      <c r="C105" s="150" t="s">
        <v>2961</v>
      </c>
      <c r="D105" t="s">
        <v>1794</v>
      </c>
      <c r="E105" t="s">
        <v>1537</v>
      </c>
      <c r="F105" t="s">
        <v>1493</v>
      </c>
      <c r="G105" t="s">
        <v>1790</v>
      </c>
      <c r="H105" t="s">
        <v>1498</v>
      </c>
      <c r="I105" t="s">
        <v>856</v>
      </c>
      <c r="J105">
        <v>1219</v>
      </c>
      <c r="K105" t="s">
        <v>2006</v>
      </c>
    </row>
    <row r="106" spans="1:11" x14ac:dyDescent="0.35">
      <c r="A106">
        <v>1117975249</v>
      </c>
      <c r="B106" t="s">
        <v>638</v>
      </c>
      <c r="C106" s="152" t="s">
        <v>2962</v>
      </c>
      <c r="D106" t="s">
        <v>2617</v>
      </c>
      <c r="E106" t="s">
        <v>2618</v>
      </c>
      <c r="F106" t="s">
        <v>1917</v>
      </c>
      <c r="H106" t="s">
        <v>1498</v>
      </c>
      <c r="I106" t="s">
        <v>856</v>
      </c>
      <c r="J106">
        <v>1219</v>
      </c>
      <c r="K106" t="s">
        <v>2006</v>
      </c>
    </row>
    <row r="107" spans="1:11" x14ac:dyDescent="0.35">
      <c r="A107">
        <v>1117975249</v>
      </c>
      <c r="B107" t="s">
        <v>638</v>
      </c>
      <c r="C107" s="152" t="s">
        <v>2962</v>
      </c>
      <c r="D107" t="s">
        <v>2617</v>
      </c>
      <c r="E107" t="s">
        <v>2619</v>
      </c>
      <c r="F107" t="s">
        <v>1917</v>
      </c>
      <c r="H107" t="s">
        <v>1498</v>
      </c>
      <c r="I107" t="s">
        <v>856</v>
      </c>
      <c r="J107">
        <v>1219</v>
      </c>
      <c r="K107" t="s">
        <v>2006</v>
      </c>
    </row>
    <row r="108" spans="1:11" x14ac:dyDescent="0.35">
      <c r="A108">
        <v>1117975249</v>
      </c>
      <c r="B108" t="s">
        <v>638</v>
      </c>
      <c r="C108" s="152" t="s">
        <v>2962</v>
      </c>
      <c r="D108" t="s">
        <v>2620</v>
      </c>
      <c r="E108" t="s">
        <v>2621</v>
      </c>
      <c r="F108" t="s">
        <v>1917</v>
      </c>
      <c r="H108" t="s">
        <v>1498</v>
      </c>
      <c r="I108" t="s">
        <v>856</v>
      </c>
      <c r="J108">
        <v>1219</v>
      </c>
      <c r="K108" t="s">
        <v>2006</v>
      </c>
    </row>
    <row r="109" spans="1:11" x14ac:dyDescent="0.35">
      <c r="A109">
        <v>1117975249</v>
      </c>
      <c r="B109" t="s">
        <v>638</v>
      </c>
      <c r="C109" s="152" t="s">
        <v>2962</v>
      </c>
      <c r="D109" t="s">
        <v>2620</v>
      </c>
      <c r="E109" t="s">
        <v>2622</v>
      </c>
      <c r="F109" t="s">
        <v>1917</v>
      </c>
      <c r="H109" t="s">
        <v>1498</v>
      </c>
      <c r="I109" t="s">
        <v>856</v>
      </c>
      <c r="J109">
        <v>1219</v>
      </c>
      <c r="K109" t="s">
        <v>2006</v>
      </c>
    </row>
    <row r="110" spans="1:11" x14ac:dyDescent="0.35">
      <c r="A110">
        <v>1117975249</v>
      </c>
      <c r="B110" t="s">
        <v>638</v>
      </c>
      <c r="C110" s="152" t="s">
        <v>2962</v>
      </c>
      <c r="D110" t="s">
        <v>2623</v>
      </c>
      <c r="E110" t="s">
        <v>2624</v>
      </c>
      <c r="F110" t="s">
        <v>1917</v>
      </c>
      <c r="H110" t="s">
        <v>1498</v>
      </c>
      <c r="I110" t="s">
        <v>856</v>
      </c>
      <c r="J110">
        <v>1219</v>
      </c>
      <c r="K110" t="s">
        <v>2006</v>
      </c>
    </row>
    <row r="111" spans="1:11" x14ac:dyDescent="0.35">
      <c r="A111">
        <v>1117975249</v>
      </c>
      <c r="B111" t="s">
        <v>638</v>
      </c>
      <c r="C111" s="152" t="s">
        <v>2962</v>
      </c>
      <c r="D111" t="s">
        <v>2623</v>
      </c>
      <c r="E111" t="s">
        <v>2625</v>
      </c>
      <c r="F111" t="s">
        <v>1493</v>
      </c>
      <c r="H111" t="s">
        <v>1498</v>
      </c>
      <c r="I111" t="s">
        <v>856</v>
      </c>
      <c r="J111">
        <v>1219</v>
      </c>
      <c r="K111" t="s">
        <v>2006</v>
      </c>
    </row>
    <row r="112" spans="1:11" x14ac:dyDescent="0.35">
      <c r="A112">
        <v>1117975249</v>
      </c>
      <c r="B112" t="s">
        <v>638</v>
      </c>
      <c r="C112" s="152" t="s">
        <v>2962</v>
      </c>
      <c r="D112" t="s">
        <v>2626</v>
      </c>
      <c r="E112" t="s">
        <v>2627</v>
      </c>
      <c r="F112" t="s">
        <v>1917</v>
      </c>
      <c r="H112" t="s">
        <v>1498</v>
      </c>
      <c r="I112" t="s">
        <v>856</v>
      </c>
      <c r="J112">
        <v>1219</v>
      </c>
      <c r="K112" t="s">
        <v>2006</v>
      </c>
    </row>
    <row r="113" spans="1:11" x14ac:dyDescent="0.35">
      <c r="A113">
        <v>1117975249</v>
      </c>
      <c r="B113" t="s">
        <v>638</v>
      </c>
      <c r="C113" s="152" t="s">
        <v>2962</v>
      </c>
      <c r="D113" t="s">
        <v>2626</v>
      </c>
      <c r="E113" t="s">
        <v>2628</v>
      </c>
      <c r="F113" t="s">
        <v>1493</v>
      </c>
      <c r="H113" t="s">
        <v>1498</v>
      </c>
      <c r="I113" t="s">
        <v>856</v>
      </c>
      <c r="J113">
        <v>1219</v>
      </c>
      <c r="K113" t="s">
        <v>2006</v>
      </c>
    </row>
    <row r="114" spans="1:11" x14ac:dyDescent="0.35">
      <c r="A114">
        <v>1117975249</v>
      </c>
      <c r="B114" t="s">
        <v>638</v>
      </c>
      <c r="C114" s="152" t="s">
        <v>2962</v>
      </c>
      <c r="D114" t="s">
        <v>2629</v>
      </c>
      <c r="E114" t="s">
        <v>2294</v>
      </c>
      <c r="F114" t="s">
        <v>1917</v>
      </c>
      <c r="H114" t="s">
        <v>1498</v>
      </c>
      <c r="I114" t="s">
        <v>856</v>
      </c>
      <c r="J114">
        <v>1219</v>
      </c>
      <c r="K114" t="s">
        <v>2006</v>
      </c>
    </row>
    <row r="115" spans="1:11" x14ac:dyDescent="0.35">
      <c r="A115">
        <v>1117975249</v>
      </c>
      <c r="B115" t="s">
        <v>638</v>
      </c>
      <c r="C115" s="152" t="s">
        <v>2962</v>
      </c>
      <c r="D115" t="s">
        <v>2629</v>
      </c>
      <c r="E115" t="s">
        <v>2630</v>
      </c>
      <c r="F115" t="s">
        <v>1917</v>
      </c>
      <c r="H115" t="s">
        <v>1498</v>
      </c>
      <c r="I115" t="s">
        <v>856</v>
      </c>
      <c r="J115">
        <v>1219</v>
      </c>
      <c r="K115" t="s">
        <v>2006</v>
      </c>
    </row>
    <row r="116" spans="1:11" x14ac:dyDescent="0.35">
      <c r="A116">
        <v>1117975249</v>
      </c>
      <c r="B116" t="s">
        <v>638</v>
      </c>
      <c r="C116" s="152" t="s">
        <v>2962</v>
      </c>
      <c r="D116" t="s">
        <v>2290</v>
      </c>
      <c r="E116" t="s">
        <v>2291</v>
      </c>
      <c r="F116" t="s">
        <v>2278</v>
      </c>
      <c r="H116" t="s">
        <v>1439</v>
      </c>
      <c r="I116" t="s">
        <v>856</v>
      </c>
      <c r="J116">
        <v>1219</v>
      </c>
      <c r="K116" t="s">
        <v>2006</v>
      </c>
    </row>
    <row r="117" spans="1:11" x14ac:dyDescent="0.35">
      <c r="A117">
        <v>1117975249</v>
      </c>
      <c r="B117" t="s">
        <v>638</v>
      </c>
      <c r="C117" s="152" t="s">
        <v>2962</v>
      </c>
      <c r="D117" t="s">
        <v>2290</v>
      </c>
      <c r="E117" t="s">
        <v>2292</v>
      </c>
      <c r="F117" t="s">
        <v>1917</v>
      </c>
      <c r="H117" t="s">
        <v>1498</v>
      </c>
      <c r="I117" t="s">
        <v>856</v>
      </c>
      <c r="J117">
        <v>1219</v>
      </c>
      <c r="K117" t="s">
        <v>2006</v>
      </c>
    </row>
    <row r="118" spans="1:11" x14ac:dyDescent="0.35">
      <c r="A118">
        <v>1117975249</v>
      </c>
      <c r="B118" t="s">
        <v>638</v>
      </c>
      <c r="C118" s="152" t="s">
        <v>2962</v>
      </c>
      <c r="D118" t="s">
        <v>2290</v>
      </c>
      <c r="E118" t="s">
        <v>2631</v>
      </c>
      <c r="F118" t="s">
        <v>1433</v>
      </c>
      <c r="H118" t="s">
        <v>1498</v>
      </c>
      <c r="I118" t="s">
        <v>856</v>
      </c>
      <c r="J118">
        <v>1219</v>
      </c>
      <c r="K118" t="s">
        <v>2006</v>
      </c>
    </row>
    <row r="119" spans="1:11" x14ac:dyDescent="0.35">
      <c r="A119">
        <v>1117975249</v>
      </c>
      <c r="B119" t="s">
        <v>638</v>
      </c>
      <c r="C119" s="152" t="s">
        <v>2962</v>
      </c>
      <c r="D119" t="s">
        <v>2632</v>
      </c>
      <c r="E119" t="s">
        <v>1872</v>
      </c>
      <c r="F119" t="s">
        <v>1917</v>
      </c>
      <c r="H119" t="s">
        <v>1498</v>
      </c>
      <c r="I119" t="s">
        <v>856</v>
      </c>
      <c r="J119">
        <v>1219</v>
      </c>
      <c r="K119" t="s">
        <v>2006</v>
      </c>
    </row>
    <row r="120" spans="1:11" x14ac:dyDescent="0.35">
      <c r="A120">
        <v>1117975249</v>
      </c>
      <c r="B120" t="s">
        <v>638</v>
      </c>
      <c r="C120" s="152" t="s">
        <v>2962</v>
      </c>
      <c r="D120" t="s">
        <v>2632</v>
      </c>
      <c r="E120" t="s">
        <v>2633</v>
      </c>
      <c r="F120" t="s">
        <v>1917</v>
      </c>
      <c r="H120" t="s">
        <v>1498</v>
      </c>
      <c r="I120" t="s">
        <v>856</v>
      </c>
      <c r="J120">
        <v>1219</v>
      </c>
      <c r="K120" t="s">
        <v>2006</v>
      </c>
    </row>
    <row r="121" spans="1:11" x14ac:dyDescent="0.35">
      <c r="A121">
        <v>1117975249</v>
      </c>
      <c r="B121" t="s">
        <v>638</v>
      </c>
      <c r="C121" s="152" t="s">
        <v>2962</v>
      </c>
      <c r="D121" t="s">
        <v>2295</v>
      </c>
      <c r="E121" t="s">
        <v>2296</v>
      </c>
      <c r="F121" t="s">
        <v>1433</v>
      </c>
      <c r="H121" t="s">
        <v>1498</v>
      </c>
      <c r="I121" t="s">
        <v>856</v>
      </c>
      <c r="J121">
        <v>1219</v>
      </c>
      <c r="K121" t="s">
        <v>2006</v>
      </c>
    </row>
    <row r="122" spans="1:11" x14ac:dyDescent="0.35">
      <c r="A122">
        <v>1117975249</v>
      </c>
      <c r="B122" t="s">
        <v>638</v>
      </c>
      <c r="C122" s="152" t="s">
        <v>2962</v>
      </c>
      <c r="D122" t="s">
        <v>2295</v>
      </c>
      <c r="E122" t="s">
        <v>2634</v>
      </c>
      <c r="F122" t="s">
        <v>1917</v>
      </c>
      <c r="H122" t="s">
        <v>1498</v>
      </c>
      <c r="I122" t="s">
        <v>856</v>
      </c>
      <c r="J122">
        <v>1219</v>
      </c>
      <c r="K122" t="s">
        <v>2006</v>
      </c>
    </row>
    <row r="123" spans="1:11" x14ac:dyDescent="0.35">
      <c r="A123">
        <v>1117977340</v>
      </c>
      <c r="B123" t="s">
        <v>287</v>
      </c>
      <c r="C123" s="150" t="s">
        <v>2961</v>
      </c>
      <c r="D123" t="s">
        <v>1974</v>
      </c>
      <c r="E123" t="s">
        <v>1482</v>
      </c>
      <c r="F123" t="s">
        <v>1433</v>
      </c>
      <c r="G123" t="s">
        <v>1481</v>
      </c>
      <c r="H123" t="s">
        <v>1439</v>
      </c>
      <c r="I123" t="s">
        <v>1996</v>
      </c>
      <c r="J123">
        <v>4312</v>
      </c>
      <c r="K123" t="s">
        <v>735</v>
      </c>
    </row>
    <row r="124" spans="1:11" x14ac:dyDescent="0.35">
      <c r="A124">
        <v>1117977340</v>
      </c>
      <c r="B124" t="s">
        <v>287</v>
      </c>
      <c r="C124" s="150" t="s">
        <v>2961</v>
      </c>
      <c r="D124" t="s">
        <v>1767</v>
      </c>
      <c r="E124" t="s">
        <v>1515</v>
      </c>
      <c r="F124" t="s">
        <v>1493</v>
      </c>
      <c r="G124" t="s">
        <v>1514</v>
      </c>
      <c r="H124" t="s">
        <v>1498</v>
      </c>
      <c r="I124" t="s">
        <v>1996</v>
      </c>
      <c r="J124">
        <v>4312</v>
      </c>
      <c r="K124" t="s">
        <v>735</v>
      </c>
    </row>
    <row r="125" spans="1:11" x14ac:dyDescent="0.35">
      <c r="A125">
        <v>1117977340</v>
      </c>
      <c r="B125" t="s">
        <v>287</v>
      </c>
      <c r="C125" s="152" t="s">
        <v>2962</v>
      </c>
      <c r="D125" t="s">
        <v>2635</v>
      </c>
      <c r="E125" t="s">
        <v>2586</v>
      </c>
      <c r="F125" t="s">
        <v>1433</v>
      </c>
      <c r="H125" t="s">
        <v>1498</v>
      </c>
      <c r="I125" t="s">
        <v>1996</v>
      </c>
      <c r="J125">
        <v>4312</v>
      </c>
      <c r="K125" t="s">
        <v>735</v>
      </c>
    </row>
    <row r="126" spans="1:11" x14ac:dyDescent="0.35">
      <c r="A126">
        <v>1117977340</v>
      </c>
      <c r="B126" t="s">
        <v>287</v>
      </c>
      <c r="C126" s="152" t="s">
        <v>2962</v>
      </c>
      <c r="D126" t="s">
        <v>2635</v>
      </c>
      <c r="E126" t="s">
        <v>2636</v>
      </c>
      <c r="F126" t="s">
        <v>1433</v>
      </c>
      <c r="H126" t="s">
        <v>1498</v>
      </c>
      <c r="I126" t="s">
        <v>1996</v>
      </c>
      <c r="J126">
        <v>4312</v>
      </c>
      <c r="K126" t="s">
        <v>735</v>
      </c>
    </row>
    <row r="127" spans="1:11" x14ac:dyDescent="0.35">
      <c r="A127">
        <v>1117977340</v>
      </c>
      <c r="B127" t="s">
        <v>287</v>
      </c>
      <c r="C127" s="152" t="s">
        <v>2962</v>
      </c>
      <c r="D127" t="s">
        <v>2635</v>
      </c>
      <c r="E127" t="s">
        <v>2637</v>
      </c>
      <c r="F127" t="s">
        <v>1433</v>
      </c>
      <c r="H127" t="s">
        <v>1498</v>
      </c>
      <c r="I127" t="s">
        <v>1996</v>
      </c>
      <c r="J127">
        <v>4312</v>
      </c>
      <c r="K127" t="s">
        <v>735</v>
      </c>
    </row>
    <row r="128" spans="1:11" x14ac:dyDescent="0.35">
      <c r="A128">
        <v>1117977340</v>
      </c>
      <c r="B128" t="s">
        <v>287</v>
      </c>
      <c r="C128" s="152" t="s">
        <v>2962</v>
      </c>
      <c r="D128" t="s">
        <v>2638</v>
      </c>
      <c r="E128" t="s">
        <v>2639</v>
      </c>
      <c r="F128" t="s">
        <v>1433</v>
      </c>
      <c r="H128" t="s">
        <v>1498</v>
      </c>
      <c r="I128" t="s">
        <v>1996</v>
      </c>
      <c r="J128">
        <v>4312</v>
      </c>
      <c r="K128" t="s">
        <v>735</v>
      </c>
    </row>
    <row r="129" spans="1:11" x14ac:dyDescent="0.35">
      <c r="A129">
        <v>1117977340</v>
      </c>
      <c r="B129" t="s">
        <v>287</v>
      </c>
      <c r="C129" s="152" t="s">
        <v>2962</v>
      </c>
      <c r="D129" t="s">
        <v>2638</v>
      </c>
      <c r="E129" t="s">
        <v>2640</v>
      </c>
      <c r="F129" t="s">
        <v>1433</v>
      </c>
      <c r="H129" t="s">
        <v>1498</v>
      </c>
      <c r="I129" t="s">
        <v>1996</v>
      </c>
      <c r="J129">
        <v>4312</v>
      </c>
      <c r="K129" t="s">
        <v>735</v>
      </c>
    </row>
    <row r="130" spans="1:11" x14ac:dyDescent="0.35">
      <c r="A130">
        <v>1117977340</v>
      </c>
      <c r="B130" t="s">
        <v>287</v>
      </c>
      <c r="C130" s="152" t="s">
        <v>2962</v>
      </c>
      <c r="D130" t="s">
        <v>2641</v>
      </c>
      <c r="E130" t="s">
        <v>2376</v>
      </c>
      <c r="F130" t="s">
        <v>1433</v>
      </c>
      <c r="H130" t="s">
        <v>1498</v>
      </c>
      <c r="I130" t="s">
        <v>1996</v>
      </c>
      <c r="J130">
        <v>4312</v>
      </c>
      <c r="K130" t="s">
        <v>735</v>
      </c>
    </row>
    <row r="131" spans="1:11" x14ac:dyDescent="0.35">
      <c r="A131">
        <v>1117977340</v>
      </c>
      <c r="B131" t="s">
        <v>287</v>
      </c>
      <c r="C131" s="152" t="s">
        <v>2962</v>
      </c>
      <c r="D131" t="s">
        <v>2641</v>
      </c>
      <c r="E131" t="s">
        <v>2642</v>
      </c>
      <c r="F131" t="s">
        <v>1433</v>
      </c>
      <c r="H131" t="s">
        <v>1498</v>
      </c>
      <c r="I131" t="s">
        <v>1996</v>
      </c>
      <c r="J131">
        <v>4312</v>
      </c>
      <c r="K131" t="s">
        <v>735</v>
      </c>
    </row>
    <row r="132" spans="1:11" x14ac:dyDescent="0.35">
      <c r="A132">
        <v>1117977340</v>
      </c>
      <c r="B132" t="s">
        <v>287</v>
      </c>
      <c r="C132" s="152" t="s">
        <v>2962</v>
      </c>
      <c r="D132" t="s">
        <v>2643</v>
      </c>
      <c r="E132" t="s">
        <v>2644</v>
      </c>
      <c r="F132" t="s">
        <v>1433</v>
      </c>
      <c r="H132" t="s">
        <v>1498</v>
      </c>
      <c r="I132" t="s">
        <v>1996</v>
      </c>
      <c r="J132">
        <v>4312</v>
      </c>
      <c r="K132" t="s">
        <v>735</v>
      </c>
    </row>
    <row r="133" spans="1:11" x14ac:dyDescent="0.35">
      <c r="A133">
        <v>1117977340</v>
      </c>
      <c r="B133" t="s">
        <v>287</v>
      </c>
      <c r="C133" s="152" t="s">
        <v>2962</v>
      </c>
      <c r="D133" t="s">
        <v>2643</v>
      </c>
      <c r="E133" t="s">
        <v>2645</v>
      </c>
      <c r="F133" t="s">
        <v>2278</v>
      </c>
      <c r="H133" t="s">
        <v>1439</v>
      </c>
      <c r="I133" t="s">
        <v>1996</v>
      </c>
      <c r="J133">
        <v>4312</v>
      </c>
      <c r="K133" t="s">
        <v>735</v>
      </c>
    </row>
    <row r="134" spans="1:11" x14ac:dyDescent="0.35">
      <c r="A134">
        <v>1117977340</v>
      </c>
      <c r="B134" t="s">
        <v>287</v>
      </c>
      <c r="C134" s="152" t="s">
        <v>2962</v>
      </c>
      <c r="D134" t="s">
        <v>2646</v>
      </c>
      <c r="E134" t="s">
        <v>2647</v>
      </c>
      <c r="F134" t="s">
        <v>1922</v>
      </c>
      <c r="H134" t="s">
        <v>1498</v>
      </c>
      <c r="I134" t="s">
        <v>1996</v>
      </c>
      <c r="J134">
        <v>4312</v>
      </c>
      <c r="K134" t="s">
        <v>735</v>
      </c>
    </row>
    <row r="135" spans="1:11" x14ac:dyDescent="0.35">
      <c r="A135">
        <v>1117977340</v>
      </c>
      <c r="B135" t="s">
        <v>287</v>
      </c>
      <c r="C135" s="152" t="s">
        <v>2962</v>
      </c>
      <c r="D135" t="s">
        <v>2646</v>
      </c>
      <c r="E135" t="s">
        <v>2648</v>
      </c>
      <c r="F135" t="s">
        <v>1433</v>
      </c>
      <c r="H135" t="s">
        <v>1498</v>
      </c>
      <c r="I135" t="s">
        <v>1996</v>
      </c>
      <c r="J135">
        <v>4312</v>
      </c>
      <c r="K135" t="s">
        <v>735</v>
      </c>
    </row>
    <row r="136" spans="1:11" x14ac:dyDescent="0.35">
      <c r="A136">
        <v>1117977340</v>
      </c>
      <c r="B136" t="s">
        <v>287</v>
      </c>
      <c r="C136" s="152" t="s">
        <v>2962</v>
      </c>
      <c r="D136" t="s">
        <v>2649</v>
      </c>
      <c r="E136" t="s">
        <v>2650</v>
      </c>
      <c r="F136" t="s">
        <v>1433</v>
      </c>
      <c r="H136" t="s">
        <v>1498</v>
      </c>
      <c r="I136" t="s">
        <v>1996</v>
      </c>
      <c r="J136">
        <v>4312</v>
      </c>
      <c r="K136" t="s">
        <v>735</v>
      </c>
    </row>
    <row r="137" spans="1:11" x14ac:dyDescent="0.35">
      <c r="A137">
        <v>1117977340</v>
      </c>
      <c r="B137" t="s">
        <v>287</v>
      </c>
      <c r="C137" s="152" t="s">
        <v>2962</v>
      </c>
      <c r="D137" t="s">
        <v>2649</v>
      </c>
      <c r="E137" t="s">
        <v>2651</v>
      </c>
      <c r="F137" t="s">
        <v>1433</v>
      </c>
      <c r="H137" t="s">
        <v>1498</v>
      </c>
      <c r="I137" t="s">
        <v>1996</v>
      </c>
      <c r="J137">
        <v>4312</v>
      </c>
      <c r="K137" t="s">
        <v>735</v>
      </c>
    </row>
    <row r="138" spans="1:11" x14ac:dyDescent="0.35">
      <c r="A138">
        <v>1117977340</v>
      </c>
      <c r="B138" t="s">
        <v>287</v>
      </c>
      <c r="C138" s="152" t="s">
        <v>2962</v>
      </c>
      <c r="D138" t="s">
        <v>2652</v>
      </c>
      <c r="E138" t="s">
        <v>2653</v>
      </c>
      <c r="F138" t="s">
        <v>1433</v>
      </c>
      <c r="H138" t="s">
        <v>1498</v>
      </c>
      <c r="I138" t="s">
        <v>1996</v>
      </c>
      <c r="J138">
        <v>4312</v>
      </c>
      <c r="K138" t="s">
        <v>735</v>
      </c>
    </row>
    <row r="139" spans="1:11" x14ac:dyDescent="0.35">
      <c r="A139">
        <v>1117977340</v>
      </c>
      <c r="B139" t="s">
        <v>287</v>
      </c>
      <c r="C139" s="152" t="s">
        <v>2962</v>
      </c>
      <c r="D139" t="s">
        <v>2652</v>
      </c>
      <c r="E139" t="s">
        <v>2654</v>
      </c>
      <c r="F139" t="s">
        <v>1433</v>
      </c>
      <c r="H139" t="s">
        <v>1498</v>
      </c>
      <c r="I139" t="s">
        <v>1996</v>
      </c>
      <c r="J139">
        <v>4312</v>
      </c>
      <c r="K139" t="s">
        <v>735</v>
      </c>
    </row>
    <row r="140" spans="1:11" x14ac:dyDescent="0.35">
      <c r="A140">
        <v>1117977340</v>
      </c>
      <c r="B140" t="s">
        <v>287</v>
      </c>
      <c r="C140" s="152" t="s">
        <v>2962</v>
      </c>
      <c r="D140" t="s">
        <v>2655</v>
      </c>
      <c r="E140" t="s">
        <v>1574</v>
      </c>
      <c r="F140" t="s">
        <v>2278</v>
      </c>
      <c r="H140" t="s">
        <v>1439</v>
      </c>
      <c r="I140" t="s">
        <v>1996</v>
      </c>
      <c r="J140">
        <v>4312</v>
      </c>
      <c r="K140" t="s">
        <v>735</v>
      </c>
    </row>
    <row r="141" spans="1:11" x14ac:dyDescent="0.35">
      <c r="A141">
        <v>1117977340</v>
      </c>
      <c r="B141" t="s">
        <v>287</v>
      </c>
      <c r="C141" s="152" t="s">
        <v>2962</v>
      </c>
      <c r="D141" t="s">
        <v>2655</v>
      </c>
      <c r="E141" t="s">
        <v>2656</v>
      </c>
      <c r="F141" t="s">
        <v>1433</v>
      </c>
      <c r="H141" t="s">
        <v>1498</v>
      </c>
      <c r="I141" t="s">
        <v>1996</v>
      </c>
      <c r="J141">
        <v>4312</v>
      </c>
      <c r="K141" t="s">
        <v>735</v>
      </c>
    </row>
    <row r="142" spans="1:11" x14ac:dyDescent="0.35">
      <c r="A142">
        <v>1117977340</v>
      </c>
      <c r="B142" t="s">
        <v>287</v>
      </c>
      <c r="C142" s="152" t="s">
        <v>2962</v>
      </c>
      <c r="D142" t="s">
        <v>2657</v>
      </c>
      <c r="E142" t="s">
        <v>2658</v>
      </c>
      <c r="F142" t="s">
        <v>1917</v>
      </c>
      <c r="H142" t="s">
        <v>1498</v>
      </c>
      <c r="I142" t="s">
        <v>1996</v>
      </c>
      <c r="J142">
        <v>4312</v>
      </c>
      <c r="K142" t="s">
        <v>735</v>
      </c>
    </row>
    <row r="143" spans="1:11" x14ac:dyDescent="0.35">
      <c r="A143">
        <v>1117977340</v>
      </c>
      <c r="B143" t="s">
        <v>287</v>
      </c>
      <c r="C143" s="152" t="s">
        <v>2962</v>
      </c>
      <c r="D143" t="s">
        <v>2657</v>
      </c>
      <c r="E143" t="s">
        <v>2659</v>
      </c>
      <c r="F143" t="s">
        <v>1433</v>
      </c>
      <c r="H143" t="s">
        <v>1498</v>
      </c>
      <c r="I143" t="s">
        <v>1996</v>
      </c>
      <c r="J143">
        <v>4312</v>
      </c>
      <c r="K143" t="s">
        <v>735</v>
      </c>
    </row>
    <row r="144" spans="1:11" x14ac:dyDescent="0.35">
      <c r="A144">
        <v>1117980907</v>
      </c>
      <c r="B144" t="s">
        <v>582</v>
      </c>
      <c r="C144" s="152" t="s">
        <v>2962</v>
      </c>
      <c r="D144" t="s">
        <v>2790</v>
      </c>
      <c r="E144" t="s">
        <v>2791</v>
      </c>
      <c r="F144" t="s">
        <v>1433</v>
      </c>
      <c r="H144" t="s">
        <v>1498</v>
      </c>
      <c r="I144" t="s">
        <v>2011</v>
      </c>
      <c r="J144">
        <v>9333</v>
      </c>
      <c r="K144" t="s">
        <v>827</v>
      </c>
    </row>
    <row r="145" spans="1:11" x14ac:dyDescent="0.35">
      <c r="A145">
        <v>1117980907</v>
      </c>
      <c r="B145" t="s">
        <v>582</v>
      </c>
      <c r="C145" s="152" t="s">
        <v>2962</v>
      </c>
      <c r="D145" t="s">
        <v>2790</v>
      </c>
      <c r="E145" t="s">
        <v>2523</v>
      </c>
      <c r="F145" t="s">
        <v>1433</v>
      </c>
      <c r="H145" t="s">
        <v>1498</v>
      </c>
      <c r="I145" t="s">
        <v>2011</v>
      </c>
      <c r="J145">
        <v>9333</v>
      </c>
      <c r="K145" t="s">
        <v>827</v>
      </c>
    </row>
    <row r="146" spans="1:11" x14ac:dyDescent="0.35">
      <c r="A146">
        <v>1117980907</v>
      </c>
      <c r="B146" t="s">
        <v>582</v>
      </c>
      <c r="C146" s="152" t="s">
        <v>2962</v>
      </c>
      <c r="D146" t="s">
        <v>2790</v>
      </c>
      <c r="E146" t="s">
        <v>2792</v>
      </c>
      <c r="F146" t="s">
        <v>1433</v>
      </c>
      <c r="H146" t="s">
        <v>1498</v>
      </c>
      <c r="I146" t="s">
        <v>2011</v>
      </c>
      <c r="J146">
        <v>9333</v>
      </c>
      <c r="K146" t="s">
        <v>827</v>
      </c>
    </row>
    <row r="147" spans="1:11" x14ac:dyDescent="0.35">
      <c r="A147">
        <v>1117980907</v>
      </c>
      <c r="B147" t="s">
        <v>582</v>
      </c>
      <c r="C147" s="152" t="s">
        <v>2962</v>
      </c>
      <c r="D147" t="s">
        <v>2793</v>
      </c>
      <c r="E147" t="s">
        <v>2794</v>
      </c>
      <c r="F147" t="s">
        <v>1433</v>
      </c>
      <c r="H147" t="s">
        <v>1498</v>
      </c>
      <c r="I147" t="s">
        <v>2011</v>
      </c>
      <c r="J147">
        <v>9333</v>
      </c>
      <c r="K147" t="s">
        <v>827</v>
      </c>
    </row>
    <row r="148" spans="1:11" x14ac:dyDescent="0.35">
      <c r="A148">
        <v>1117980907</v>
      </c>
      <c r="B148" t="s">
        <v>582</v>
      </c>
      <c r="C148" s="152" t="s">
        <v>2962</v>
      </c>
      <c r="D148" t="s">
        <v>2793</v>
      </c>
      <c r="E148" t="s">
        <v>2795</v>
      </c>
      <c r="F148" t="s">
        <v>1433</v>
      </c>
      <c r="H148" t="s">
        <v>1498</v>
      </c>
      <c r="I148" t="s">
        <v>2011</v>
      </c>
      <c r="J148">
        <v>9333</v>
      </c>
      <c r="K148" t="s">
        <v>827</v>
      </c>
    </row>
    <row r="149" spans="1:11" x14ac:dyDescent="0.35">
      <c r="A149">
        <v>1117980907</v>
      </c>
      <c r="B149" t="s">
        <v>582</v>
      </c>
      <c r="C149" s="152" t="s">
        <v>2962</v>
      </c>
      <c r="D149" t="s">
        <v>2796</v>
      </c>
      <c r="E149" t="s">
        <v>2473</v>
      </c>
      <c r="F149" t="s">
        <v>1433</v>
      </c>
      <c r="H149" t="s">
        <v>1498</v>
      </c>
      <c r="I149" t="s">
        <v>2011</v>
      </c>
      <c r="J149">
        <v>9333</v>
      </c>
      <c r="K149" t="s">
        <v>827</v>
      </c>
    </row>
    <row r="150" spans="1:11" x14ac:dyDescent="0.35">
      <c r="A150">
        <v>1117980907</v>
      </c>
      <c r="B150" t="s">
        <v>582</v>
      </c>
      <c r="C150" s="152" t="s">
        <v>2962</v>
      </c>
      <c r="D150" t="s">
        <v>2796</v>
      </c>
      <c r="E150" t="s">
        <v>2797</v>
      </c>
      <c r="F150" t="s">
        <v>1433</v>
      </c>
      <c r="H150" t="s">
        <v>1498</v>
      </c>
      <c r="I150" t="s">
        <v>2011</v>
      </c>
      <c r="J150">
        <v>9333</v>
      </c>
      <c r="K150" t="s">
        <v>827</v>
      </c>
    </row>
    <row r="151" spans="1:11" x14ac:dyDescent="0.35">
      <c r="A151">
        <v>1117980907</v>
      </c>
      <c r="B151" t="s">
        <v>582</v>
      </c>
      <c r="C151" s="152" t="s">
        <v>2962</v>
      </c>
      <c r="D151" t="s">
        <v>2798</v>
      </c>
      <c r="E151" t="s">
        <v>1552</v>
      </c>
      <c r="F151" t="s">
        <v>1433</v>
      </c>
      <c r="H151" t="s">
        <v>1498</v>
      </c>
      <c r="I151" t="s">
        <v>2011</v>
      </c>
      <c r="J151">
        <v>9333</v>
      </c>
      <c r="K151" t="s">
        <v>827</v>
      </c>
    </row>
    <row r="152" spans="1:11" x14ac:dyDescent="0.35">
      <c r="A152">
        <v>1117980907</v>
      </c>
      <c r="B152" t="s">
        <v>582</v>
      </c>
      <c r="C152" s="152" t="s">
        <v>2962</v>
      </c>
      <c r="D152" t="s">
        <v>2798</v>
      </c>
      <c r="E152" t="s">
        <v>2799</v>
      </c>
      <c r="F152" t="s">
        <v>2278</v>
      </c>
      <c r="H152" t="s">
        <v>1439</v>
      </c>
      <c r="I152" t="s">
        <v>2011</v>
      </c>
      <c r="J152">
        <v>9333</v>
      </c>
      <c r="K152" t="s">
        <v>827</v>
      </c>
    </row>
    <row r="153" spans="1:11" x14ac:dyDescent="0.35">
      <c r="A153">
        <v>1117980907</v>
      </c>
      <c r="B153" t="s">
        <v>582</v>
      </c>
      <c r="C153" s="152" t="s">
        <v>2962</v>
      </c>
      <c r="D153" t="s">
        <v>2798</v>
      </c>
      <c r="E153" t="s">
        <v>2800</v>
      </c>
      <c r="F153" t="s">
        <v>1433</v>
      </c>
      <c r="H153" t="s">
        <v>1498</v>
      </c>
      <c r="I153" t="s">
        <v>2011</v>
      </c>
      <c r="J153">
        <v>9333</v>
      </c>
      <c r="K153" t="s">
        <v>827</v>
      </c>
    </row>
    <row r="154" spans="1:11" x14ac:dyDescent="0.35">
      <c r="A154">
        <v>1117982053</v>
      </c>
      <c r="B154" t="s">
        <v>233</v>
      </c>
      <c r="C154" s="150" t="s">
        <v>2961</v>
      </c>
      <c r="D154" t="s">
        <v>1337</v>
      </c>
      <c r="E154" t="s">
        <v>1965</v>
      </c>
      <c r="F154" t="s">
        <v>1433</v>
      </c>
      <c r="G154" t="s">
        <v>1640</v>
      </c>
      <c r="H154" t="s">
        <v>1439</v>
      </c>
      <c r="I154" t="s">
        <v>830</v>
      </c>
      <c r="J154">
        <v>2513</v>
      </c>
      <c r="K154" t="s">
        <v>833</v>
      </c>
    </row>
    <row r="155" spans="1:11" x14ac:dyDescent="0.35">
      <c r="A155">
        <v>1117982053</v>
      </c>
      <c r="B155" t="s">
        <v>233</v>
      </c>
      <c r="C155" s="150" t="s">
        <v>2961</v>
      </c>
      <c r="D155" t="s">
        <v>1340</v>
      </c>
      <c r="E155" t="s">
        <v>1966</v>
      </c>
      <c r="F155" t="s">
        <v>1433</v>
      </c>
      <c r="G155" t="s">
        <v>1640</v>
      </c>
      <c r="H155" t="s">
        <v>1439</v>
      </c>
      <c r="I155" t="s">
        <v>830</v>
      </c>
      <c r="J155">
        <v>2513</v>
      </c>
      <c r="K155" t="s">
        <v>833</v>
      </c>
    </row>
    <row r="156" spans="1:11" x14ac:dyDescent="0.35">
      <c r="A156">
        <v>1117982053</v>
      </c>
      <c r="B156" t="s">
        <v>233</v>
      </c>
      <c r="C156" s="152" t="s">
        <v>2962</v>
      </c>
      <c r="D156" t="s">
        <v>2801</v>
      </c>
      <c r="E156" t="s">
        <v>2802</v>
      </c>
      <c r="F156" t="s">
        <v>2278</v>
      </c>
      <c r="H156" t="s">
        <v>1439</v>
      </c>
      <c r="I156" t="s">
        <v>830</v>
      </c>
      <c r="J156">
        <v>2513</v>
      </c>
      <c r="K156" t="s">
        <v>833</v>
      </c>
    </row>
    <row r="157" spans="1:11" x14ac:dyDescent="0.35">
      <c r="A157">
        <v>1117982053</v>
      </c>
      <c r="B157" t="s">
        <v>233</v>
      </c>
      <c r="C157" s="152" t="s">
        <v>2962</v>
      </c>
      <c r="D157" t="s">
        <v>2801</v>
      </c>
      <c r="E157" t="s">
        <v>2804</v>
      </c>
      <c r="F157" t="s">
        <v>2278</v>
      </c>
      <c r="H157" t="s">
        <v>1439</v>
      </c>
      <c r="I157" t="s">
        <v>830</v>
      </c>
      <c r="J157">
        <v>2513</v>
      </c>
      <c r="K157" t="s">
        <v>833</v>
      </c>
    </row>
    <row r="158" spans="1:11" x14ac:dyDescent="0.35">
      <c r="A158">
        <v>1117982053</v>
      </c>
      <c r="B158" t="s">
        <v>233</v>
      </c>
      <c r="C158" s="152" t="s">
        <v>2962</v>
      </c>
      <c r="D158" t="s">
        <v>2805</v>
      </c>
      <c r="E158" t="s">
        <v>2806</v>
      </c>
      <c r="F158" t="s">
        <v>2278</v>
      </c>
      <c r="H158" t="s">
        <v>1439</v>
      </c>
      <c r="I158" t="s">
        <v>830</v>
      </c>
      <c r="J158">
        <v>2513</v>
      </c>
      <c r="K158" t="s">
        <v>833</v>
      </c>
    </row>
    <row r="159" spans="1:11" x14ac:dyDescent="0.35">
      <c r="A159">
        <v>1117982053</v>
      </c>
      <c r="B159" t="s">
        <v>233</v>
      </c>
      <c r="C159" s="152" t="s">
        <v>2962</v>
      </c>
      <c r="D159" t="s">
        <v>2805</v>
      </c>
      <c r="E159" t="s">
        <v>2807</v>
      </c>
      <c r="F159" t="s">
        <v>2278</v>
      </c>
      <c r="H159" t="s">
        <v>1439</v>
      </c>
      <c r="I159" t="s">
        <v>830</v>
      </c>
      <c r="J159">
        <v>2513</v>
      </c>
      <c r="K159" t="s">
        <v>833</v>
      </c>
    </row>
    <row r="160" spans="1:11" x14ac:dyDescent="0.35">
      <c r="A160">
        <v>1117982053</v>
      </c>
      <c r="B160" t="s">
        <v>233</v>
      </c>
      <c r="C160" s="152" t="s">
        <v>2962</v>
      </c>
      <c r="D160" t="s">
        <v>2808</v>
      </c>
      <c r="E160" t="s">
        <v>2810</v>
      </c>
      <c r="F160" t="s">
        <v>2278</v>
      </c>
      <c r="H160" t="s">
        <v>1439</v>
      </c>
      <c r="I160" t="s">
        <v>830</v>
      </c>
      <c r="J160">
        <v>2513</v>
      </c>
      <c r="K160" t="s">
        <v>833</v>
      </c>
    </row>
    <row r="161" spans="1:11" x14ac:dyDescent="0.35">
      <c r="A161">
        <v>1117982053</v>
      </c>
      <c r="B161" t="s">
        <v>233</v>
      </c>
      <c r="C161" s="152" t="s">
        <v>2962</v>
      </c>
      <c r="D161" t="s">
        <v>2811</v>
      </c>
      <c r="E161" t="s">
        <v>2813</v>
      </c>
      <c r="F161" t="s">
        <v>2278</v>
      </c>
      <c r="H161" t="s">
        <v>1439</v>
      </c>
      <c r="I161" t="s">
        <v>830</v>
      </c>
      <c r="J161">
        <v>2513</v>
      </c>
      <c r="K161" t="s">
        <v>833</v>
      </c>
    </row>
    <row r="162" spans="1:11" x14ac:dyDescent="0.35">
      <c r="A162">
        <v>1117982053</v>
      </c>
      <c r="B162" t="s">
        <v>233</v>
      </c>
      <c r="C162" s="152" t="s">
        <v>2962</v>
      </c>
      <c r="D162" t="s">
        <v>2811</v>
      </c>
      <c r="E162" t="s">
        <v>2814</v>
      </c>
      <c r="F162" t="s">
        <v>2278</v>
      </c>
      <c r="H162" t="s">
        <v>1439</v>
      </c>
      <c r="I162" t="s">
        <v>830</v>
      </c>
      <c r="J162">
        <v>2513</v>
      </c>
      <c r="K162" t="s">
        <v>833</v>
      </c>
    </row>
    <row r="163" spans="1:11" x14ac:dyDescent="0.35">
      <c r="A163">
        <v>1117984105</v>
      </c>
      <c r="B163" t="s">
        <v>503</v>
      </c>
      <c r="C163" s="150" t="s">
        <v>2961</v>
      </c>
      <c r="D163" t="s">
        <v>1765</v>
      </c>
      <c r="E163" t="s">
        <v>1762</v>
      </c>
      <c r="F163" t="s">
        <v>1493</v>
      </c>
      <c r="G163" t="s">
        <v>1509</v>
      </c>
      <c r="H163" t="s">
        <v>1498</v>
      </c>
      <c r="I163" t="s">
        <v>1999</v>
      </c>
      <c r="J163">
        <v>2433</v>
      </c>
      <c r="K163" t="s">
        <v>2000</v>
      </c>
    </row>
    <row r="164" spans="1:11" x14ac:dyDescent="0.35">
      <c r="A164">
        <v>1117984105</v>
      </c>
      <c r="B164" t="s">
        <v>503</v>
      </c>
      <c r="C164" s="150" t="s">
        <v>2961</v>
      </c>
      <c r="D164" t="s">
        <v>1769</v>
      </c>
      <c r="E164" t="s">
        <v>1515</v>
      </c>
      <c r="F164" t="s">
        <v>1493</v>
      </c>
      <c r="G164" t="s">
        <v>1514</v>
      </c>
      <c r="H164" t="s">
        <v>1498</v>
      </c>
      <c r="I164" t="s">
        <v>1999</v>
      </c>
      <c r="J164">
        <v>2433</v>
      </c>
      <c r="K164" t="s">
        <v>2000</v>
      </c>
    </row>
    <row r="165" spans="1:11" x14ac:dyDescent="0.35">
      <c r="A165">
        <v>1117990944</v>
      </c>
      <c r="B165" t="s">
        <v>221</v>
      </c>
      <c r="C165" s="152" t="s">
        <v>2962</v>
      </c>
      <c r="D165" t="s">
        <v>2600</v>
      </c>
      <c r="E165" t="s">
        <v>2601</v>
      </c>
      <c r="F165" t="s">
        <v>1433</v>
      </c>
      <c r="H165" t="s">
        <v>1498</v>
      </c>
      <c r="I165" t="s">
        <v>819</v>
      </c>
      <c r="J165">
        <v>9334</v>
      </c>
      <c r="K165" t="s">
        <v>822</v>
      </c>
    </row>
    <row r="166" spans="1:11" x14ac:dyDescent="0.35">
      <c r="A166">
        <v>1117990944</v>
      </c>
      <c r="B166" t="s">
        <v>221</v>
      </c>
      <c r="C166" s="152" t="s">
        <v>2962</v>
      </c>
      <c r="D166" t="s">
        <v>2600</v>
      </c>
      <c r="E166" t="s">
        <v>2438</v>
      </c>
      <c r="F166" t="s">
        <v>1433</v>
      </c>
      <c r="H166" t="s">
        <v>1498</v>
      </c>
      <c r="I166" t="s">
        <v>819</v>
      </c>
      <c r="J166">
        <v>9334</v>
      </c>
      <c r="K166" t="s">
        <v>822</v>
      </c>
    </row>
    <row r="167" spans="1:11" x14ac:dyDescent="0.35">
      <c r="A167">
        <v>1117990944</v>
      </c>
      <c r="B167" t="s">
        <v>221</v>
      </c>
      <c r="C167" s="152" t="s">
        <v>2962</v>
      </c>
      <c r="D167" t="s">
        <v>2600</v>
      </c>
      <c r="E167" t="s">
        <v>2602</v>
      </c>
      <c r="F167" t="s">
        <v>1433</v>
      </c>
      <c r="H167" t="s">
        <v>1498</v>
      </c>
      <c r="I167" t="s">
        <v>819</v>
      </c>
      <c r="J167">
        <v>9334</v>
      </c>
      <c r="K167" t="s">
        <v>822</v>
      </c>
    </row>
    <row r="168" spans="1:11" x14ac:dyDescent="0.35">
      <c r="A168">
        <v>1117990944</v>
      </c>
      <c r="B168" t="s">
        <v>221</v>
      </c>
      <c r="C168" s="152" t="s">
        <v>2962</v>
      </c>
      <c r="D168" t="s">
        <v>2603</v>
      </c>
      <c r="E168" t="s">
        <v>2604</v>
      </c>
      <c r="F168" t="s">
        <v>1433</v>
      </c>
      <c r="H168" t="s">
        <v>1498</v>
      </c>
      <c r="I168" t="s">
        <v>819</v>
      </c>
      <c r="J168">
        <v>9334</v>
      </c>
      <c r="K168" t="s">
        <v>822</v>
      </c>
    </row>
    <row r="169" spans="1:11" x14ac:dyDescent="0.35">
      <c r="A169">
        <v>1117990944</v>
      </c>
      <c r="B169" t="s">
        <v>221</v>
      </c>
      <c r="C169" s="152" t="s">
        <v>2962</v>
      </c>
      <c r="D169" t="s">
        <v>2603</v>
      </c>
      <c r="E169" t="s">
        <v>2605</v>
      </c>
      <c r="F169" t="s">
        <v>1433</v>
      </c>
      <c r="H169" t="s">
        <v>1498</v>
      </c>
      <c r="I169" t="s">
        <v>819</v>
      </c>
      <c r="J169">
        <v>9334</v>
      </c>
      <c r="K169" t="s">
        <v>822</v>
      </c>
    </row>
    <row r="170" spans="1:11" x14ac:dyDescent="0.35">
      <c r="A170">
        <v>1117990944</v>
      </c>
      <c r="B170" t="s">
        <v>221</v>
      </c>
      <c r="C170" s="152" t="s">
        <v>2962</v>
      </c>
      <c r="D170" t="s">
        <v>2283</v>
      </c>
      <c r="E170" t="s">
        <v>2284</v>
      </c>
      <c r="F170" t="s">
        <v>1433</v>
      </c>
      <c r="H170" t="s">
        <v>1498</v>
      </c>
      <c r="I170" t="s">
        <v>819</v>
      </c>
      <c r="J170">
        <v>9334</v>
      </c>
      <c r="K170" t="s">
        <v>822</v>
      </c>
    </row>
    <row r="171" spans="1:11" x14ac:dyDescent="0.35">
      <c r="A171">
        <v>1117990944</v>
      </c>
      <c r="B171" t="s">
        <v>221</v>
      </c>
      <c r="C171" s="152" t="s">
        <v>2962</v>
      </c>
      <c r="D171" t="s">
        <v>2283</v>
      </c>
      <c r="E171" t="s">
        <v>2606</v>
      </c>
      <c r="F171" t="s">
        <v>1433</v>
      </c>
      <c r="H171" t="s">
        <v>1498</v>
      </c>
      <c r="I171" t="s">
        <v>819</v>
      </c>
      <c r="J171">
        <v>9334</v>
      </c>
      <c r="K171" t="s">
        <v>822</v>
      </c>
    </row>
    <row r="172" spans="1:11" x14ac:dyDescent="0.35">
      <c r="A172">
        <v>1117990944</v>
      </c>
      <c r="B172" t="s">
        <v>221</v>
      </c>
      <c r="C172" s="152" t="s">
        <v>2962</v>
      </c>
      <c r="D172" t="s">
        <v>2607</v>
      </c>
      <c r="E172" t="s">
        <v>2287</v>
      </c>
      <c r="F172" t="s">
        <v>486</v>
      </c>
      <c r="H172" t="s">
        <v>1498</v>
      </c>
      <c r="I172" t="s">
        <v>819</v>
      </c>
      <c r="J172">
        <v>9334</v>
      </c>
      <c r="K172" t="s">
        <v>822</v>
      </c>
    </row>
    <row r="173" spans="1:11" x14ac:dyDescent="0.35">
      <c r="A173">
        <v>1117990944</v>
      </c>
      <c r="B173" t="s">
        <v>221</v>
      </c>
      <c r="C173" s="152" t="s">
        <v>2962</v>
      </c>
      <c r="D173" t="s">
        <v>2607</v>
      </c>
      <c r="E173" t="s">
        <v>2608</v>
      </c>
      <c r="F173" t="s">
        <v>1433</v>
      </c>
      <c r="H173" t="s">
        <v>1498</v>
      </c>
      <c r="I173" t="s">
        <v>819</v>
      </c>
      <c r="J173">
        <v>9334</v>
      </c>
      <c r="K173" t="s">
        <v>822</v>
      </c>
    </row>
    <row r="174" spans="1:11" x14ac:dyDescent="0.35">
      <c r="A174">
        <v>1117990944</v>
      </c>
      <c r="B174" t="s">
        <v>221</v>
      </c>
      <c r="C174" s="152" t="s">
        <v>2962</v>
      </c>
      <c r="D174" t="s">
        <v>2609</v>
      </c>
      <c r="E174" t="s">
        <v>2610</v>
      </c>
      <c r="F174" t="s">
        <v>1433</v>
      </c>
      <c r="H174" t="s">
        <v>1498</v>
      </c>
      <c r="I174" t="s">
        <v>819</v>
      </c>
      <c r="J174">
        <v>9334</v>
      </c>
      <c r="K174" t="s">
        <v>822</v>
      </c>
    </row>
    <row r="175" spans="1:11" x14ac:dyDescent="0.35">
      <c r="A175">
        <v>1117990944</v>
      </c>
      <c r="B175" t="s">
        <v>221</v>
      </c>
      <c r="C175" s="152" t="s">
        <v>2962</v>
      </c>
      <c r="D175" t="s">
        <v>2609</v>
      </c>
      <c r="E175" t="s">
        <v>2611</v>
      </c>
      <c r="F175" t="s">
        <v>1433</v>
      </c>
      <c r="H175" t="s">
        <v>1498</v>
      </c>
      <c r="I175" t="s">
        <v>819</v>
      </c>
      <c r="J175">
        <v>9334</v>
      </c>
      <c r="K175" t="s">
        <v>822</v>
      </c>
    </row>
    <row r="176" spans="1:11" x14ac:dyDescent="0.35">
      <c r="A176">
        <v>1117990944</v>
      </c>
      <c r="B176" t="s">
        <v>221</v>
      </c>
      <c r="C176" s="152" t="s">
        <v>2962</v>
      </c>
      <c r="D176" t="s">
        <v>2612</v>
      </c>
      <c r="E176" t="s">
        <v>2613</v>
      </c>
      <c r="F176" t="s">
        <v>1433</v>
      </c>
      <c r="H176" t="s">
        <v>1498</v>
      </c>
      <c r="I176" t="s">
        <v>819</v>
      </c>
      <c r="J176">
        <v>9334</v>
      </c>
      <c r="K176" t="s">
        <v>822</v>
      </c>
    </row>
    <row r="177" spans="1:11" x14ac:dyDescent="0.35">
      <c r="A177">
        <v>1117990944</v>
      </c>
      <c r="B177" t="s">
        <v>221</v>
      </c>
      <c r="C177" s="152" t="s">
        <v>2962</v>
      </c>
      <c r="D177" t="s">
        <v>2612</v>
      </c>
      <c r="E177" t="s">
        <v>2614</v>
      </c>
      <c r="F177" t="s">
        <v>1433</v>
      </c>
      <c r="H177" t="s">
        <v>1498</v>
      </c>
      <c r="I177" t="s">
        <v>819</v>
      </c>
      <c r="J177">
        <v>9334</v>
      </c>
      <c r="K177" t="s">
        <v>822</v>
      </c>
    </row>
    <row r="178" spans="1:11" x14ac:dyDescent="0.35">
      <c r="A178">
        <v>1117990944</v>
      </c>
      <c r="B178" t="s">
        <v>221</v>
      </c>
      <c r="C178" s="152" t="s">
        <v>2962</v>
      </c>
      <c r="D178" t="s">
        <v>2615</v>
      </c>
      <c r="E178" t="s">
        <v>2289</v>
      </c>
      <c r="F178" t="s">
        <v>1433</v>
      </c>
      <c r="H178" t="s">
        <v>1498</v>
      </c>
      <c r="I178" t="s">
        <v>819</v>
      </c>
      <c r="J178">
        <v>9334</v>
      </c>
      <c r="K178" t="s">
        <v>822</v>
      </c>
    </row>
    <row r="179" spans="1:11" x14ac:dyDescent="0.35">
      <c r="A179">
        <v>1117990944</v>
      </c>
      <c r="B179" t="s">
        <v>221</v>
      </c>
      <c r="C179" s="152" t="s">
        <v>2962</v>
      </c>
      <c r="D179" t="s">
        <v>2615</v>
      </c>
      <c r="E179" t="s">
        <v>2616</v>
      </c>
      <c r="F179" t="s">
        <v>1433</v>
      </c>
      <c r="H179" t="s">
        <v>1498</v>
      </c>
      <c r="I179" t="s">
        <v>819</v>
      </c>
      <c r="J179">
        <v>9334</v>
      </c>
      <c r="K179" t="s">
        <v>822</v>
      </c>
    </row>
    <row r="180" spans="1:11" x14ac:dyDescent="0.35">
      <c r="A180">
        <v>1117995368</v>
      </c>
      <c r="B180" t="s">
        <v>263</v>
      </c>
      <c r="C180" s="150" t="s">
        <v>2961</v>
      </c>
      <c r="D180" t="s">
        <v>1876</v>
      </c>
      <c r="E180" t="s">
        <v>1878</v>
      </c>
      <c r="F180" t="s">
        <v>1493</v>
      </c>
      <c r="G180" t="s">
        <v>1877</v>
      </c>
      <c r="H180" t="s">
        <v>1498</v>
      </c>
      <c r="I180" t="s">
        <v>2004</v>
      </c>
      <c r="J180">
        <v>2423</v>
      </c>
      <c r="K180" t="s">
        <v>2005</v>
      </c>
    </row>
    <row r="181" spans="1:11" x14ac:dyDescent="0.35">
      <c r="A181">
        <v>1118000814</v>
      </c>
      <c r="B181" t="s">
        <v>152</v>
      </c>
      <c r="C181" s="150" t="s">
        <v>2961</v>
      </c>
      <c r="D181" t="s">
        <v>1956</v>
      </c>
      <c r="E181" t="s">
        <v>1937</v>
      </c>
      <c r="F181" t="s">
        <v>1433</v>
      </c>
      <c r="G181" t="s">
        <v>1434</v>
      </c>
      <c r="H181" t="s">
        <v>1439</v>
      </c>
      <c r="I181" t="s">
        <v>781</v>
      </c>
      <c r="J181">
        <v>3343</v>
      </c>
      <c r="K181" t="s">
        <v>778</v>
      </c>
    </row>
    <row r="182" spans="1:11" x14ac:dyDescent="0.35">
      <c r="A182">
        <v>1118000814</v>
      </c>
      <c r="B182" t="s">
        <v>152</v>
      </c>
      <c r="C182" s="150" t="s">
        <v>2961</v>
      </c>
      <c r="D182" t="s">
        <v>1770</v>
      </c>
      <c r="E182" t="s">
        <v>1515</v>
      </c>
      <c r="F182" t="s">
        <v>1493</v>
      </c>
      <c r="G182" t="s">
        <v>1514</v>
      </c>
      <c r="H182" t="s">
        <v>1498</v>
      </c>
      <c r="I182" t="s">
        <v>781</v>
      </c>
      <c r="J182">
        <v>3343</v>
      </c>
      <c r="K182" t="s">
        <v>778</v>
      </c>
    </row>
    <row r="183" spans="1:11" x14ac:dyDescent="0.35">
      <c r="A183">
        <v>1118000814</v>
      </c>
      <c r="B183" t="s">
        <v>152</v>
      </c>
      <c r="C183" s="150" t="s">
        <v>2961</v>
      </c>
      <c r="D183" t="s">
        <v>1795</v>
      </c>
      <c r="E183" t="s">
        <v>1796</v>
      </c>
      <c r="F183" t="s">
        <v>1493</v>
      </c>
      <c r="G183" t="s">
        <v>1790</v>
      </c>
      <c r="H183" t="s">
        <v>1498</v>
      </c>
      <c r="I183" t="s">
        <v>781</v>
      </c>
      <c r="J183">
        <v>3343</v>
      </c>
      <c r="K183" t="s">
        <v>778</v>
      </c>
    </row>
    <row r="184" spans="1:11" x14ac:dyDescent="0.35">
      <c r="A184">
        <v>1118000814</v>
      </c>
      <c r="B184" t="s">
        <v>152</v>
      </c>
      <c r="C184" s="150" t="s">
        <v>2961</v>
      </c>
      <c r="D184" t="s">
        <v>1784</v>
      </c>
      <c r="E184" t="s">
        <v>1518</v>
      </c>
      <c r="F184" t="s">
        <v>1493</v>
      </c>
      <c r="G184" t="s">
        <v>1942</v>
      </c>
      <c r="H184" t="s">
        <v>1498</v>
      </c>
      <c r="I184" t="s">
        <v>781</v>
      </c>
      <c r="J184">
        <v>3343</v>
      </c>
      <c r="K184" t="s">
        <v>778</v>
      </c>
    </row>
    <row r="185" spans="1:11" x14ac:dyDescent="0.35">
      <c r="A185">
        <v>1118000814</v>
      </c>
      <c r="B185" t="s">
        <v>152</v>
      </c>
      <c r="C185" s="150" t="s">
        <v>2961</v>
      </c>
      <c r="D185" t="s">
        <v>1818</v>
      </c>
      <c r="E185" t="s">
        <v>1534</v>
      </c>
      <c r="F185" t="s">
        <v>1493</v>
      </c>
      <c r="G185" t="s">
        <v>1522</v>
      </c>
      <c r="H185" t="s">
        <v>1498</v>
      </c>
      <c r="I185" t="s">
        <v>781</v>
      </c>
      <c r="J185">
        <v>3343</v>
      </c>
      <c r="K185" t="s">
        <v>778</v>
      </c>
    </row>
    <row r="186" spans="1:11" x14ac:dyDescent="0.35">
      <c r="A186">
        <v>1118000814</v>
      </c>
      <c r="B186" t="s">
        <v>152</v>
      </c>
      <c r="C186" s="150" t="s">
        <v>2961</v>
      </c>
      <c r="D186" t="s">
        <v>1737</v>
      </c>
      <c r="E186" t="s">
        <v>1495</v>
      </c>
      <c r="F186" t="s">
        <v>1493</v>
      </c>
      <c r="G186" t="s">
        <v>1494</v>
      </c>
      <c r="H186" t="s">
        <v>1498</v>
      </c>
      <c r="I186" t="s">
        <v>781</v>
      </c>
      <c r="J186">
        <v>3343</v>
      </c>
      <c r="K186" t="s">
        <v>778</v>
      </c>
    </row>
    <row r="187" spans="1:11" x14ac:dyDescent="0.35">
      <c r="A187">
        <v>1118000814</v>
      </c>
      <c r="B187" t="s">
        <v>152</v>
      </c>
      <c r="C187" s="152" t="s">
        <v>2962</v>
      </c>
      <c r="D187" t="s">
        <v>2660</v>
      </c>
      <c r="E187" t="s">
        <v>2661</v>
      </c>
      <c r="F187" t="s">
        <v>2278</v>
      </c>
      <c r="H187" t="s">
        <v>1439</v>
      </c>
      <c r="I187" t="s">
        <v>781</v>
      </c>
      <c r="J187">
        <v>3343</v>
      </c>
      <c r="K187" t="s">
        <v>778</v>
      </c>
    </row>
    <row r="188" spans="1:11" x14ac:dyDescent="0.35">
      <c r="A188">
        <v>1118000814</v>
      </c>
      <c r="B188" t="s">
        <v>152</v>
      </c>
      <c r="C188" s="152" t="s">
        <v>2962</v>
      </c>
      <c r="D188" t="s">
        <v>2660</v>
      </c>
      <c r="E188" t="s">
        <v>2662</v>
      </c>
      <c r="F188" t="s">
        <v>2278</v>
      </c>
      <c r="H188" t="s">
        <v>1439</v>
      </c>
      <c r="I188" t="s">
        <v>781</v>
      </c>
      <c r="J188">
        <v>3343</v>
      </c>
      <c r="K188" t="s">
        <v>778</v>
      </c>
    </row>
    <row r="189" spans="1:11" x14ac:dyDescent="0.35">
      <c r="A189">
        <v>1118000814</v>
      </c>
      <c r="B189" t="s">
        <v>152</v>
      </c>
      <c r="C189" s="152" t="s">
        <v>2962</v>
      </c>
      <c r="D189" t="s">
        <v>2298</v>
      </c>
      <c r="E189" t="s">
        <v>2663</v>
      </c>
      <c r="F189" t="s">
        <v>2278</v>
      </c>
      <c r="H189" t="s">
        <v>1439</v>
      </c>
      <c r="I189" t="s">
        <v>781</v>
      </c>
      <c r="J189">
        <v>3343</v>
      </c>
      <c r="K189" t="s">
        <v>778</v>
      </c>
    </row>
    <row r="190" spans="1:11" x14ac:dyDescent="0.35">
      <c r="A190">
        <v>1118000814</v>
      </c>
      <c r="B190" t="s">
        <v>152</v>
      </c>
      <c r="C190" s="152" t="s">
        <v>2962</v>
      </c>
      <c r="D190" t="s">
        <v>2298</v>
      </c>
      <c r="E190" t="s">
        <v>2664</v>
      </c>
      <c r="F190" t="s">
        <v>1433</v>
      </c>
      <c r="H190" t="s">
        <v>1498</v>
      </c>
      <c r="I190" t="s">
        <v>781</v>
      </c>
      <c r="J190">
        <v>3343</v>
      </c>
      <c r="K190" t="s">
        <v>778</v>
      </c>
    </row>
    <row r="191" spans="1:11" x14ac:dyDescent="0.35">
      <c r="A191">
        <v>1118000814</v>
      </c>
      <c r="B191" t="s">
        <v>152</v>
      </c>
      <c r="C191" s="152" t="s">
        <v>2962</v>
      </c>
      <c r="D191" t="s">
        <v>2665</v>
      </c>
      <c r="E191" t="s">
        <v>2666</v>
      </c>
      <c r="F191" t="s">
        <v>1433</v>
      </c>
      <c r="H191" t="s">
        <v>1498</v>
      </c>
      <c r="I191" t="s">
        <v>781</v>
      </c>
      <c r="J191">
        <v>3343</v>
      </c>
      <c r="K191" t="s">
        <v>778</v>
      </c>
    </row>
    <row r="192" spans="1:11" x14ac:dyDescent="0.35">
      <c r="A192">
        <v>1118000814</v>
      </c>
      <c r="B192" t="s">
        <v>152</v>
      </c>
      <c r="C192" s="152" t="s">
        <v>2962</v>
      </c>
      <c r="D192" t="s">
        <v>2665</v>
      </c>
      <c r="E192" t="s">
        <v>2457</v>
      </c>
      <c r="F192" t="s">
        <v>1433</v>
      </c>
      <c r="H192" t="s">
        <v>1498</v>
      </c>
      <c r="I192" t="s">
        <v>781</v>
      </c>
      <c r="J192">
        <v>3343</v>
      </c>
      <c r="K192" t="s">
        <v>778</v>
      </c>
    </row>
    <row r="193" spans="1:11" x14ac:dyDescent="0.35">
      <c r="A193">
        <v>1118000814</v>
      </c>
      <c r="B193" t="s">
        <v>152</v>
      </c>
      <c r="C193" s="152" t="s">
        <v>2962</v>
      </c>
      <c r="D193" t="s">
        <v>2301</v>
      </c>
      <c r="E193" t="s">
        <v>2302</v>
      </c>
      <c r="F193" t="s">
        <v>2278</v>
      </c>
      <c r="H193" t="s">
        <v>1439</v>
      </c>
      <c r="I193" t="s">
        <v>781</v>
      </c>
      <c r="J193">
        <v>3343</v>
      </c>
      <c r="K193" t="s">
        <v>778</v>
      </c>
    </row>
    <row r="194" spans="1:11" x14ac:dyDescent="0.35">
      <c r="A194">
        <v>1118000814</v>
      </c>
      <c r="B194" t="s">
        <v>152</v>
      </c>
      <c r="C194" s="152" t="s">
        <v>2962</v>
      </c>
      <c r="D194" t="s">
        <v>2301</v>
      </c>
      <c r="E194" t="s">
        <v>2667</v>
      </c>
      <c r="F194" t="s">
        <v>2278</v>
      </c>
      <c r="H194" t="s">
        <v>1439</v>
      </c>
      <c r="I194" t="s">
        <v>781</v>
      </c>
      <c r="J194">
        <v>3343</v>
      </c>
      <c r="K194" t="s">
        <v>778</v>
      </c>
    </row>
    <row r="195" spans="1:11" x14ac:dyDescent="0.35">
      <c r="A195">
        <v>1118000814</v>
      </c>
      <c r="B195" t="s">
        <v>152</v>
      </c>
      <c r="C195" s="152" t="s">
        <v>2962</v>
      </c>
      <c r="D195" t="s">
        <v>2303</v>
      </c>
      <c r="E195" t="s">
        <v>2304</v>
      </c>
      <c r="F195" t="s">
        <v>1433</v>
      </c>
      <c r="H195" t="s">
        <v>1498</v>
      </c>
      <c r="I195" t="s">
        <v>781</v>
      </c>
      <c r="J195">
        <v>3343</v>
      </c>
      <c r="K195" t="s">
        <v>778</v>
      </c>
    </row>
    <row r="196" spans="1:11" x14ac:dyDescent="0.35">
      <c r="A196">
        <v>1118000814</v>
      </c>
      <c r="B196" t="s">
        <v>152</v>
      </c>
      <c r="C196" s="152" t="s">
        <v>2962</v>
      </c>
      <c r="D196" t="s">
        <v>2303</v>
      </c>
      <c r="E196" t="s">
        <v>2668</v>
      </c>
      <c r="F196" t="s">
        <v>1433</v>
      </c>
      <c r="H196" t="s">
        <v>1498</v>
      </c>
      <c r="I196" t="s">
        <v>781</v>
      </c>
      <c r="J196">
        <v>3343</v>
      </c>
      <c r="K196" t="s">
        <v>778</v>
      </c>
    </row>
    <row r="197" spans="1:11" x14ac:dyDescent="0.35">
      <c r="A197">
        <v>1118000814</v>
      </c>
      <c r="B197" t="s">
        <v>152</v>
      </c>
      <c r="C197" s="152" t="s">
        <v>2962</v>
      </c>
      <c r="D197" t="s">
        <v>2305</v>
      </c>
      <c r="E197" t="s">
        <v>1717</v>
      </c>
      <c r="F197" t="s">
        <v>2278</v>
      </c>
      <c r="H197" t="s">
        <v>1439</v>
      </c>
      <c r="I197" t="s">
        <v>781</v>
      </c>
      <c r="J197">
        <v>3343</v>
      </c>
      <c r="K197" t="s">
        <v>778</v>
      </c>
    </row>
    <row r="198" spans="1:11" x14ac:dyDescent="0.35">
      <c r="A198">
        <v>1118000814</v>
      </c>
      <c r="B198" t="s">
        <v>152</v>
      </c>
      <c r="C198" s="152" t="s">
        <v>2962</v>
      </c>
      <c r="D198" t="s">
        <v>2305</v>
      </c>
      <c r="E198" t="s">
        <v>2669</v>
      </c>
      <c r="F198" t="s">
        <v>1433</v>
      </c>
      <c r="H198" t="s">
        <v>1498</v>
      </c>
      <c r="I198" t="s">
        <v>781</v>
      </c>
      <c r="J198">
        <v>3343</v>
      </c>
      <c r="K198" t="s">
        <v>778</v>
      </c>
    </row>
    <row r="199" spans="1:11" x14ac:dyDescent="0.35">
      <c r="A199">
        <v>1118000814</v>
      </c>
      <c r="B199" t="s">
        <v>152</v>
      </c>
      <c r="C199" s="152" t="s">
        <v>2962</v>
      </c>
      <c r="D199" t="s">
        <v>2670</v>
      </c>
      <c r="E199" t="s">
        <v>2671</v>
      </c>
      <c r="F199" t="s">
        <v>1433</v>
      </c>
      <c r="H199" t="s">
        <v>1498</v>
      </c>
      <c r="I199" t="s">
        <v>781</v>
      </c>
      <c r="J199">
        <v>3343</v>
      </c>
      <c r="K199" t="s">
        <v>778</v>
      </c>
    </row>
    <row r="200" spans="1:11" x14ac:dyDescent="0.35">
      <c r="A200">
        <v>1118000814</v>
      </c>
      <c r="B200" t="s">
        <v>152</v>
      </c>
      <c r="C200" s="152" t="s">
        <v>2962</v>
      </c>
      <c r="D200" t="s">
        <v>2670</v>
      </c>
      <c r="E200" t="s">
        <v>2672</v>
      </c>
      <c r="F200" t="s">
        <v>1433</v>
      </c>
      <c r="H200" t="s">
        <v>1498</v>
      </c>
      <c r="I200" t="s">
        <v>781</v>
      </c>
      <c r="J200">
        <v>3343</v>
      </c>
      <c r="K200" t="s">
        <v>778</v>
      </c>
    </row>
    <row r="201" spans="1:11" x14ac:dyDescent="0.35">
      <c r="A201">
        <v>1118000814</v>
      </c>
      <c r="B201" t="s">
        <v>152</v>
      </c>
      <c r="C201" s="152" t="s">
        <v>2962</v>
      </c>
      <c r="D201" t="s">
        <v>2673</v>
      </c>
      <c r="E201" t="s">
        <v>2674</v>
      </c>
      <c r="F201" t="s">
        <v>1433</v>
      </c>
      <c r="H201" t="s">
        <v>1498</v>
      </c>
      <c r="I201" t="s">
        <v>781</v>
      </c>
      <c r="J201">
        <v>3343</v>
      </c>
      <c r="K201" t="s">
        <v>778</v>
      </c>
    </row>
    <row r="202" spans="1:11" x14ac:dyDescent="0.35">
      <c r="A202">
        <v>1118000814</v>
      </c>
      <c r="B202" t="s">
        <v>152</v>
      </c>
      <c r="C202" s="152" t="s">
        <v>2962</v>
      </c>
      <c r="D202" t="s">
        <v>2673</v>
      </c>
      <c r="E202" t="s">
        <v>2675</v>
      </c>
      <c r="F202" t="s">
        <v>1433</v>
      </c>
      <c r="H202" t="s">
        <v>1498</v>
      </c>
      <c r="I202" t="s">
        <v>781</v>
      </c>
      <c r="J202">
        <v>3343</v>
      </c>
      <c r="K202" t="s">
        <v>778</v>
      </c>
    </row>
    <row r="203" spans="1:11" x14ac:dyDescent="0.35">
      <c r="A203">
        <v>1118003709</v>
      </c>
      <c r="B203" t="s">
        <v>164</v>
      </c>
      <c r="C203" s="150" t="s">
        <v>2961</v>
      </c>
      <c r="D203" t="s">
        <v>1955</v>
      </c>
      <c r="E203" t="s">
        <v>1443</v>
      </c>
      <c r="F203" t="s">
        <v>1433</v>
      </c>
      <c r="G203" t="s">
        <v>1434</v>
      </c>
      <c r="H203" t="s">
        <v>1439</v>
      </c>
      <c r="I203" t="s">
        <v>789</v>
      </c>
      <c r="J203">
        <v>5230</v>
      </c>
      <c r="K203" t="s">
        <v>792</v>
      </c>
    </row>
    <row r="204" spans="1:11" x14ac:dyDescent="0.35">
      <c r="A204">
        <v>1118003709</v>
      </c>
      <c r="B204" t="s">
        <v>164</v>
      </c>
      <c r="C204" s="150" t="s">
        <v>2961</v>
      </c>
      <c r="D204" t="s">
        <v>1936</v>
      </c>
      <c r="E204" t="s">
        <v>1937</v>
      </c>
      <c r="F204" t="s">
        <v>1433</v>
      </c>
      <c r="G204" t="s">
        <v>1434</v>
      </c>
      <c r="H204" t="s">
        <v>1439</v>
      </c>
      <c r="I204" t="s">
        <v>789</v>
      </c>
      <c r="J204">
        <v>5230</v>
      </c>
      <c r="K204" t="s">
        <v>792</v>
      </c>
    </row>
    <row r="205" spans="1:11" x14ac:dyDescent="0.35">
      <c r="A205">
        <v>1118003709</v>
      </c>
      <c r="B205" t="s">
        <v>164</v>
      </c>
      <c r="C205" s="152" t="s">
        <v>2962</v>
      </c>
      <c r="D205" t="s">
        <v>2853</v>
      </c>
      <c r="E205" t="s">
        <v>2854</v>
      </c>
      <c r="F205" t="s">
        <v>1433</v>
      </c>
      <c r="H205" t="s">
        <v>1498</v>
      </c>
      <c r="I205" t="s">
        <v>789</v>
      </c>
      <c r="J205">
        <v>5230</v>
      </c>
      <c r="K205" t="s">
        <v>792</v>
      </c>
    </row>
    <row r="206" spans="1:11" x14ac:dyDescent="0.35">
      <c r="A206">
        <v>1118003709</v>
      </c>
      <c r="B206" t="s">
        <v>164</v>
      </c>
      <c r="C206" s="152" t="s">
        <v>2962</v>
      </c>
      <c r="D206" t="s">
        <v>2853</v>
      </c>
      <c r="E206" t="s">
        <v>2855</v>
      </c>
      <c r="F206" t="s">
        <v>1433</v>
      </c>
      <c r="H206" t="s">
        <v>1498</v>
      </c>
      <c r="I206" t="s">
        <v>789</v>
      </c>
      <c r="J206">
        <v>5230</v>
      </c>
      <c r="K206" t="s">
        <v>792</v>
      </c>
    </row>
    <row r="207" spans="1:11" x14ac:dyDescent="0.35">
      <c r="A207">
        <v>1118003709</v>
      </c>
      <c r="B207" t="s">
        <v>164</v>
      </c>
      <c r="C207" s="152" t="s">
        <v>2962</v>
      </c>
      <c r="D207" t="s">
        <v>2856</v>
      </c>
      <c r="E207" t="s">
        <v>2857</v>
      </c>
      <c r="F207" t="s">
        <v>1433</v>
      </c>
      <c r="H207" t="s">
        <v>1498</v>
      </c>
      <c r="I207" t="s">
        <v>789</v>
      </c>
      <c r="J207">
        <v>5230</v>
      </c>
      <c r="K207" t="s">
        <v>792</v>
      </c>
    </row>
    <row r="208" spans="1:11" x14ac:dyDescent="0.35">
      <c r="A208">
        <v>1118003709</v>
      </c>
      <c r="B208" t="s">
        <v>164</v>
      </c>
      <c r="C208" s="152" t="s">
        <v>2962</v>
      </c>
      <c r="D208" t="s">
        <v>2856</v>
      </c>
      <c r="E208" t="s">
        <v>2858</v>
      </c>
      <c r="F208" t="s">
        <v>1433</v>
      </c>
      <c r="H208" t="s">
        <v>1498</v>
      </c>
      <c r="I208" t="s">
        <v>789</v>
      </c>
      <c r="J208">
        <v>5230</v>
      </c>
      <c r="K208" t="s">
        <v>792</v>
      </c>
    </row>
    <row r="209" spans="1:11" x14ac:dyDescent="0.35">
      <c r="A209">
        <v>1118003709</v>
      </c>
      <c r="B209" t="s">
        <v>164</v>
      </c>
      <c r="C209" s="152" t="s">
        <v>2962</v>
      </c>
      <c r="D209" t="s">
        <v>2859</v>
      </c>
      <c r="E209" t="s">
        <v>1530</v>
      </c>
      <c r="F209" t="s">
        <v>1922</v>
      </c>
      <c r="H209" t="s">
        <v>1498</v>
      </c>
      <c r="I209" t="s">
        <v>789</v>
      </c>
      <c r="J209">
        <v>5230</v>
      </c>
      <c r="K209" t="s">
        <v>792</v>
      </c>
    </row>
    <row r="210" spans="1:11" x14ac:dyDescent="0.35">
      <c r="A210">
        <v>1118003709</v>
      </c>
      <c r="B210" t="s">
        <v>164</v>
      </c>
      <c r="C210" s="152" t="s">
        <v>2962</v>
      </c>
      <c r="D210" t="s">
        <v>2859</v>
      </c>
      <c r="E210" t="s">
        <v>2860</v>
      </c>
      <c r="F210" t="s">
        <v>1922</v>
      </c>
      <c r="H210" t="s">
        <v>1498</v>
      </c>
      <c r="I210" t="s">
        <v>789</v>
      </c>
      <c r="J210">
        <v>5230</v>
      </c>
      <c r="K210" t="s">
        <v>792</v>
      </c>
    </row>
    <row r="211" spans="1:11" x14ac:dyDescent="0.35">
      <c r="A211">
        <v>1118003709</v>
      </c>
      <c r="B211" t="s">
        <v>164</v>
      </c>
      <c r="C211" s="152" t="s">
        <v>2962</v>
      </c>
      <c r="D211" t="s">
        <v>2861</v>
      </c>
      <c r="E211" t="s">
        <v>2862</v>
      </c>
      <c r="F211" t="s">
        <v>1917</v>
      </c>
      <c r="H211" t="s">
        <v>1498</v>
      </c>
      <c r="I211" t="s">
        <v>789</v>
      </c>
      <c r="J211">
        <v>5230</v>
      </c>
      <c r="K211" t="s">
        <v>792</v>
      </c>
    </row>
    <row r="212" spans="1:11" x14ac:dyDescent="0.35">
      <c r="A212">
        <v>1118003709</v>
      </c>
      <c r="B212" t="s">
        <v>164</v>
      </c>
      <c r="C212" s="152" t="s">
        <v>2962</v>
      </c>
      <c r="D212" t="s">
        <v>2861</v>
      </c>
      <c r="E212" t="s">
        <v>2863</v>
      </c>
      <c r="F212" t="s">
        <v>1917</v>
      </c>
      <c r="H212" t="s">
        <v>1498</v>
      </c>
      <c r="I212" t="s">
        <v>789</v>
      </c>
      <c r="J212">
        <v>5230</v>
      </c>
      <c r="K212" t="s">
        <v>792</v>
      </c>
    </row>
    <row r="213" spans="1:11" x14ac:dyDescent="0.35">
      <c r="A213">
        <v>1118009703</v>
      </c>
      <c r="B213" t="s">
        <v>298</v>
      </c>
      <c r="C213" s="150" t="s">
        <v>2961</v>
      </c>
      <c r="D213" t="s">
        <v>1938</v>
      </c>
      <c r="E213" t="s">
        <v>1443</v>
      </c>
      <c r="F213" t="s">
        <v>1433</v>
      </c>
      <c r="G213" t="s">
        <v>1434</v>
      </c>
      <c r="H213" t="s">
        <v>1439</v>
      </c>
      <c r="I213" t="s">
        <v>861</v>
      </c>
      <c r="J213">
        <v>4311</v>
      </c>
      <c r="K213" t="s">
        <v>864</v>
      </c>
    </row>
    <row r="214" spans="1:11" x14ac:dyDescent="0.35">
      <c r="A214">
        <v>1118009703</v>
      </c>
      <c r="B214" t="s">
        <v>298</v>
      </c>
      <c r="C214" s="150" t="s">
        <v>2961</v>
      </c>
      <c r="D214" t="s">
        <v>1977</v>
      </c>
      <c r="E214" t="s">
        <v>1623</v>
      </c>
      <c r="F214" t="s">
        <v>1433</v>
      </c>
      <c r="G214" t="s">
        <v>1445</v>
      </c>
      <c r="H214" t="s">
        <v>1439</v>
      </c>
      <c r="I214" t="s">
        <v>861</v>
      </c>
      <c r="J214">
        <v>4311</v>
      </c>
      <c r="K214" t="s">
        <v>864</v>
      </c>
    </row>
    <row r="215" spans="1:11" x14ac:dyDescent="0.35">
      <c r="A215">
        <v>1118009703</v>
      </c>
      <c r="B215" t="s">
        <v>298</v>
      </c>
      <c r="C215" s="150" t="s">
        <v>2961</v>
      </c>
      <c r="D215" t="s">
        <v>1978</v>
      </c>
      <c r="E215" t="s">
        <v>1970</v>
      </c>
      <c r="F215" t="s">
        <v>1433</v>
      </c>
      <c r="G215" t="s">
        <v>1453</v>
      </c>
      <c r="H215" t="s">
        <v>1439</v>
      </c>
      <c r="I215" t="s">
        <v>861</v>
      </c>
      <c r="J215">
        <v>4311</v>
      </c>
      <c r="K215" t="s">
        <v>864</v>
      </c>
    </row>
    <row r="216" spans="1:11" x14ac:dyDescent="0.35">
      <c r="A216">
        <v>1118009703</v>
      </c>
      <c r="B216" t="s">
        <v>298</v>
      </c>
      <c r="C216" s="150" t="s">
        <v>2961</v>
      </c>
      <c r="D216" t="s">
        <v>1979</v>
      </c>
      <c r="E216" t="s">
        <v>1970</v>
      </c>
      <c r="F216" t="s">
        <v>1433</v>
      </c>
      <c r="G216" t="s">
        <v>1453</v>
      </c>
      <c r="H216" t="s">
        <v>1439</v>
      </c>
      <c r="I216" t="s">
        <v>861</v>
      </c>
      <c r="J216">
        <v>4311</v>
      </c>
      <c r="K216" t="s">
        <v>864</v>
      </c>
    </row>
    <row r="217" spans="1:11" x14ac:dyDescent="0.35">
      <c r="A217">
        <v>1118009703</v>
      </c>
      <c r="B217" t="s">
        <v>298</v>
      </c>
      <c r="C217" s="150" t="s">
        <v>2961</v>
      </c>
      <c r="D217" t="s">
        <v>1980</v>
      </c>
      <c r="E217" t="s">
        <v>1537</v>
      </c>
      <c r="F217" t="s">
        <v>1493</v>
      </c>
      <c r="G217" t="s">
        <v>1790</v>
      </c>
      <c r="H217" t="s">
        <v>1498</v>
      </c>
      <c r="I217" t="s">
        <v>861</v>
      </c>
      <c r="J217">
        <v>4311</v>
      </c>
      <c r="K217" t="s">
        <v>864</v>
      </c>
    </row>
    <row r="218" spans="1:11" x14ac:dyDescent="0.35">
      <c r="A218">
        <v>1118009703</v>
      </c>
      <c r="B218" t="s">
        <v>298</v>
      </c>
      <c r="C218" s="150" t="s">
        <v>2961</v>
      </c>
      <c r="D218" t="s">
        <v>1981</v>
      </c>
      <c r="E218" t="s">
        <v>1872</v>
      </c>
      <c r="F218" t="s">
        <v>1917</v>
      </c>
      <c r="G218" t="s">
        <v>1871</v>
      </c>
      <c r="H218" t="s">
        <v>1498</v>
      </c>
      <c r="I218" t="s">
        <v>861</v>
      </c>
      <c r="J218">
        <v>4311</v>
      </c>
      <c r="K218" t="s">
        <v>864</v>
      </c>
    </row>
    <row r="219" spans="1:11" x14ac:dyDescent="0.35">
      <c r="A219">
        <v>1118009703</v>
      </c>
      <c r="B219" t="s">
        <v>298</v>
      </c>
      <c r="C219" s="150" t="s">
        <v>2961</v>
      </c>
      <c r="D219" t="s">
        <v>1982</v>
      </c>
      <c r="E219" t="s">
        <v>1787</v>
      </c>
      <c r="F219" t="s">
        <v>1493</v>
      </c>
      <c r="G219" t="s">
        <v>1942</v>
      </c>
      <c r="H219" t="s">
        <v>1498</v>
      </c>
      <c r="I219" t="s">
        <v>861</v>
      </c>
      <c r="J219">
        <v>4311</v>
      </c>
      <c r="K219" t="s">
        <v>864</v>
      </c>
    </row>
    <row r="220" spans="1:11" x14ac:dyDescent="0.35">
      <c r="A220">
        <v>1118009703</v>
      </c>
      <c r="B220" t="s">
        <v>298</v>
      </c>
      <c r="C220" s="150" t="s">
        <v>2961</v>
      </c>
      <c r="D220" t="s">
        <v>1983</v>
      </c>
      <c r="E220" t="s">
        <v>1541</v>
      </c>
      <c r="F220" t="s">
        <v>1493</v>
      </c>
      <c r="G220" t="s">
        <v>1540</v>
      </c>
      <c r="H220" t="s">
        <v>1498</v>
      </c>
      <c r="I220" t="s">
        <v>861</v>
      </c>
      <c r="J220">
        <v>4311</v>
      </c>
      <c r="K220" t="s">
        <v>864</v>
      </c>
    </row>
    <row r="221" spans="1:11" x14ac:dyDescent="0.35">
      <c r="A221">
        <v>1118009703</v>
      </c>
      <c r="B221" t="s">
        <v>298</v>
      </c>
      <c r="C221" s="150" t="s">
        <v>2961</v>
      </c>
      <c r="D221" t="s">
        <v>1984</v>
      </c>
      <c r="E221" t="s">
        <v>1495</v>
      </c>
      <c r="F221" t="s">
        <v>1493</v>
      </c>
      <c r="G221" t="s">
        <v>1494</v>
      </c>
      <c r="H221" t="s">
        <v>1498</v>
      </c>
      <c r="I221" t="s">
        <v>861</v>
      </c>
      <c r="J221">
        <v>4311</v>
      </c>
      <c r="K221" t="s">
        <v>864</v>
      </c>
    </row>
    <row r="222" spans="1:11" x14ac:dyDescent="0.35">
      <c r="A222">
        <v>1118009703</v>
      </c>
      <c r="B222" t="s">
        <v>298</v>
      </c>
      <c r="C222" s="152" t="s">
        <v>2962</v>
      </c>
      <c r="D222" t="s">
        <v>2676</v>
      </c>
      <c r="E222" t="s">
        <v>2677</v>
      </c>
      <c r="F222" t="s">
        <v>1433</v>
      </c>
      <c r="H222" t="s">
        <v>1498</v>
      </c>
      <c r="I222" t="s">
        <v>861</v>
      </c>
      <c r="J222">
        <v>4311</v>
      </c>
      <c r="K222" t="s">
        <v>864</v>
      </c>
    </row>
    <row r="223" spans="1:11" x14ac:dyDescent="0.35">
      <c r="A223">
        <v>1118009703</v>
      </c>
      <c r="B223" t="s">
        <v>298</v>
      </c>
      <c r="C223" s="152" t="s">
        <v>2962</v>
      </c>
      <c r="D223" t="s">
        <v>2676</v>
      </c>
      <c r="E223" t="s">
        <v>2678</v>
      </c>
      <c r="F223" t="s">
        <v>1433</v>
      </c>
      <c r="H223" t="s">
        <v>1498</v>
      </c>
      <c r="I223" t="s">
        <v>861</v>
      </c>
      <c r="J223">
        <v>4311</v>
      </c>
      <c r="K223" t="s">
        <v>864</v>
      </c>
    </row>
    <row r="224" spans="1:11" x14ac:dyDescent="0.35">
      <c r="A224">
        <v>1118009703</v>
      </c>
      <c r="B224" t="s">
        <v>298</v>
      </c>
      <c r="C224" s="152" t="s">
        <v>2962</v>
      </c>
      <c r="D224" t="s">
        <v>2679</v>
      </c>
      <c r="E224" t="s">
        <v>2680</v>
      </c>
      <c r="F224" t="s">
        <v>1433</v>
      </c>
      <c r="H224" t="s">
        <v>1498</v>
      </c>
      <c r="I224" t="s">
        <v>861</v>
      </c>
      <c r="J224">
        <v>4311</v>
      </c>
      <c r="K224" t="s">
        <v>864</v>
      </c>
    </row>
    <row r="225" spans="1:11" x14ac:dyDescent="0.35">
      <c r="A225">
        <v>1118009703</v>
      </c>
      <c r="B225" t="s">
        <v>298</v>
      </c>
      <c r="C225" s="152" t="s">
        <v>2962</v>
      </c>
      <c r="D225" t="s">
        <v>2679</v>
      </c>
      <c r="E225" t="s">
        <v>2681</v>
      </c>
      <c r="F225" t="s">
        <v>1433</v>
      </c>
      <c r="H225" t="s">
        <v>1498</v>
      </c>
      <c r="I225" t="s">
        <v>861</v>
      </c>
      <c r="J225">
        <v>4311</v>
      </c>
      <c r="K225" t="s">
        <v>864</v>
      </c>
    </row>
    <row r="226" spans="1:11" x14ac:dyDescent="0.35">
      <c r="A226">
        <v>1118009703</v>
      </c>
      <c r="B226" t="s">
        <v>298</v>
      </c>
      <c r="C226" s="152" t="s">
        <v>2962</v>
      </c>
      <c r="D226" t="s">
        <v>2682</v>
      </c>
      <c r="E226" t="s">
        <v>1695</v>
      </c>
      <c r="F226" t="s">
        <v>2278</v>
      </c>
      <c r="H226" t="s">
        <v>1439</v>
      </c>
      <c r="I226" t="s">
        <v>861</v>
      </c>
      <c r="J226">
        <v>4311</v>
      </c>
      <c r="K226" t="s">
        <v>864</v>
      </c>
    </row>
    <row r="227" spans="1:11" x14ac:dyDescent="0.35">
      <c r="A227">
        <v>1118009703</v>
      </c>
      <c r="B227" t="s">
        <v>298</v>
      </c>
      <c r="C227" s="152" t="s">
        <v>2962</v>
      </c>
      <c r="D227" t="s">
        <v>2682</v>
      </c>
      <c r="E227" t="s">
        <v>2683</v>
      </c>
      <c r="F227" t="s">
        <v>1433</v>
      </c>
      <c r="H227" t="s">
        <v>1498</v>
      </c>
      <c r="I227" t="s">
        <v>861</v>
      </c>
      <c r="J227">
        <v>4311</v>
      </c>
      <c r="K227" t="s">
        <v>864</v>
      </c>
    </row>
    <row r="228" spans="1:11" x14ac:dyDescent="0.35">
      <c r="A228">
        <v>1118009703</v>
      </c>
      <c r="B228" t="s">
        <v>298</v>
      </c>
      <c r="C228" s="152" t="s">
        <v>2962</v>
      </c>
      <c r="D228" t="s">
        <v>2682</v>
      </c>
      <c r="E228" t="s">
        <v>2684</v>
      </c>
      <c r="F228" t="s">
        <v>2278</v>
      </c>
      <c r="H228" t="s">
        <v>1439</v>
      </c>
      <c r="I228" t="s">
        <v>861</v>
      </c>
      <c r="J228">
        <v>4311</v>
      </c>
      <c r="K228" t="s">
        <v>864</v>
      </c>
    </row>
    <row r="229" spans="1:11" x14ac:dyDescent="0.35">
      <c r="A229">
        <v>1118009703</v>
      </c>
      <c r="B229" t="s">
        <v>298</v>
      </c>
      <c r="C229" s="152" t="s">
        <v>2962</v>
      </c>
      <c r="D229" t="s">
        <v>2685</v>
      </c>
      <c r="E229" t="s">
        <v>2687</v>
      </c>
      <c r="F229" t="s">
        <v>2278</v>
      </c>
      <c r="H229" t="s">
        <v>1439</v>
      </c>
      <c r="I229" t="s">
        <v>861</v>
      </c>
      <c r="J229">
        <v>4311</v>
      </c>
      <c r="K229" t="s">
        <v>864</v>
      </c>
    </row>
    <row r="230" spans="1:11" x14ac:dyDescent="0.35">
      <c r="A230">
        <v>1118009703</v>
      </c>
      <c r="B230" t="s">
        <v>298</v>
      </c>
      <c r="C230" s="152" t="s">
        <v>2962</v>
      </c>
      <c r="D230" t="s">
        <v>2688</v>
      </c>
      <c r="E230" t="s">
        <v>2689</v>
      </c>
      <c r="F230" t="s">
        <v>2278</v>
      </c>
      <c r="H230" t="s">
        <v>1439</v>
      </c>
      <c r="I230" t="s">
        <v>861</v>
      </c>
      <c r="J230">
        <v>4311</v>
      </c>
      <c r="K230" t="s">
        <v>864</v>
      </c>
    </row>
    <row r="231" spans="1:11" x14ac:dyDescent="0.35">
      <c r="A231">
        <v>1118009703</v>
      </c>
      <c r="B231" t="s">
        <v>298</v>
      </c>
      <c r="C231" s="152" t="s">
        <v>2962</v>
      </c>
      <c r="D231" t="s">
        <v>2688</v>
      </c>
      <c r="E231" t="s">
        <v>2690</v>
      </c>
      <c r="F231" t="s">
        <v>2278</v>
      </c>
      <c r="H231" t="s">
        <v>1439</v>
      </c>
      <c r="I231" t="s">
        <v>861</v>
      </c>
      <c r="J231">
        <v>4311</v>
      </c>
      <c r="K231" t="s">
        <v>864</v>
      </c>
    </row>
    <row r="232" spans="1:11" x14ac:dyDescent="0.35">
      <c r="A232">
        <v>1118009703</v>
      </c>
      <c r="B232" t="s">
        <v>298</v>
      </c>
      <c r="C232" s="152" t="s">
        <v>2962</v>
      </c>
      <c r="D232" t="s">
        <v>2688</v>
      </c>
      <c r="E232" t="s">
        <v>2691</v>
      </c>
      <c r="F232" t="s">
        <v>1917</v>
      </c>
      <c r="H232" t="s">
        <v>1498</v>
      </c>
      <c r="I232" t="s">
        <v>861</v>
      </c>
      <c r="J232">
        <v>4311</v>
      </c>
      <c r="K232" t="s">
        <v>864</v>
      </c>
    </row>
    <row r="233" spans="1:11" x14ac:dyDescent="0.35">
      <c r="A233">
        <v>1118009703</v>
      </c>
      <c r="B233" t="s">
        <v>298</v>
      </c>
      <c r="C233" s="152" t="s">
        <v>2962</v>
      </c>
      <c r="D233" t="s">
        <v>2692</v>
      </c>
      <c r="E233" t="s">
        <v>2693</v>
      </c>
      <c r="F233" t="s">
        <v>1433</v>
      </c>
      <c r="H233" t="s">
        <v>1498</v>
      </c>
      <c r="I233" t="s">
        <v>861</v>
      </c>
      <c r="J233">
        <v>4311</v>
      </c>
      <c r="K233" t="s">
        <v>864</v>
      </c>
    </row>
    <row r="234" spans="1:11" x14ac:dyDescent="0.35">
      <c r="A234">
        <v>1118009739</v>
      </c>
      <c r="B234" t="s">
        <v>517</v>
      </c>
      <c r="C234" s="152" t="s">
        <v>2962</v>
      </c>
      <c r="D234" t="s">
        <v>2889</v>
      </c>
      <c r="E234" t="s">
        <v>2890</v>
      </c>
      <c r="F234" t="s">
        <v>1433</v>
      </c>
      <c r="H234" t="s">
        <v>1498</v>
      </c>
      <c r="I234" t="s">
        <v>741</v>
      </c>
      <c r="J234">
        <v>4110</v>
      </c>
      <c r="K234" t="s">
        <v>744</v>
      </c>
    </row>
    <row r="235" spans="1:11" x14ac:dyDescent="0.35">
      <c r="A235">
        <v>1118009739</v>
      </c>
      <c r="B235" t="s">
        <v>517</v>
      </c>
      <c r="C235" s="152" t="s">
        <v>2962</v>
      </c>
      <c r="D235" t="s">
        <v>2889</v>
      </c>
      <c r="E235" t="s">
        <v>2891</v>
      </c>
      <c r="F235" t="s">
        <v>1433</v>
      </c>
      <c r="H235" t="s">
        <v>1498</v>
      </c>
      <c r="I235" t="s">
        <v>741</v>
      </c>
      <c r="J235">
        <v>4110</v>
      </c>
      <c r="K235" t="s">
        <v>744</v>
      </c>
    </row>
    <row r="236" spans="1:11" x14ac:dyDescent="0.35">
      <c r="A236">
        <v>1118009739</v>
      </c>
      <c r="B236" t="s">
        <v>517</v>
      </c>
      <c r="C236" s="152" t="s">
        <v>2962</v>
      </c>
      <c r="D236" t="s">
        <v>2892</v>
      </c>
      <c r="E236" t="s">
        <v>2893</v>
      </c>
      <c r="F236" t="s">
        <v>1433</v>
      </c>
      <c r="H236" t="s">
        <v>1498</v>
      </c>
      <c r="I236" t="s">
        <v>741</v>
      </c>
      <c r="J236">
        <v>4110</v>
      </c>
      <c r="K236" t="s">
        <v>744</v>
      </c>
    </row>
    <row r="237" spans="1:11" x14ac:dyDescent="0.35">
      <c r="A237">
        <v>1118009739</v>
      </c>
      <c r="B237" t="s">
        <v>517</v>
      </c>
      <c r="C237" s="152" t="s">
        <v>2962</v>
      </c>
      <c r="D237" t="s">
        <v>2892</v>
      </c>
      <c r="E237" t="s">
        <v>2894</v>
      </c>
      <c r="F237" t="s">
        <v>1433</v>
      </c>
      <c r="H237" t="s">
        <v>1498</v>
      </c>
      <c r="I237" t="s">
        <v>741</v>
      </c>
      <c r="J237">
        <v>4110</v>
      </c>
      <c r="K237" t="s">
        <v>744</v>
      </c>
    </row>
    <row r="238" spans="1:11" x14ac:dyDescent="0.35">
      <c r="A238">
        <v>1118009739</v>
      </c>
      <c r="B238" t="s">
        <v>517</v>
      </c>
      <c r="C238" s="152" t="s">
        <v>2962</v>
      </c>
      <c r="D238" t="s">
        <v>2892</v>
      </c>
      <c r="E238" t="s">
        <v>2895</v>
      </c>
      <c r="F238" t="s">
        <v>1433</v>
      </c>
      <c r="H238" t="s">
        <v>1498</v>
      </c>
      <c r="I238" t="s">
        <v>741</v>
      </c>
      <c r="J238">
        <v>4110</v>
      </c>
      <c r="K238" t="s">
        <v>744</v>
      </c>
    </row>
    <row r="239" spans="1:11" x14ac:dyDescent="0.35">
      <c r="A239">
        <v>1118017586</v>
      </c>
      <c r="B239" t="s">
        <v>171</v>
      </c>
      <c r="C239" s="150" t="s">
        <v>2961</v>
      </c>
      <c r="D239" t="s">
        <v>1682</v>
      </c>
      <c r="E239" t="s">
        <v>1960</v>
      </c>
      <c r="F239" t="s">
        <v>1433</v>
      </c>
      <c r="G239" t="s">
        <v>1683</v>
      </c>
      <c r="H239" t="s">
        <v>1439</v>
      </c>
      <c r="I239" t="s">
        <v>794</v>
      </c>
      <c r="J239">
        <v>2211</v>
      </c>
      <c r="K239" t="s">
        <v>797</v>
      </c>
    </row>
    <row r="240" spans="1:11" x14ac:dyDescent="0.35">
      <c r="A240">
        <v>1118017586</v>
      </c>
      <c r="B240" t="s">
        <v>171</v>
      </c>
      <c r="C240" s="150" t="s">
        <v>2961</v>
      </c>
      <c r="D240" t="s">
        <v>1751</v>
      </c>
      <c r="E240" t="s">
        <v>1753</v>
      </c>
      <c r="F240" t="s">
        <v>1493</v>
      </c>
      <c r="G240" t="s">
        <v>1752</v>
      </c>
      <c r="H240" t="s">
        <v>1498</v>
      </c>
      <c r="I240" t="s">
        <v>794</v>
      </c>
      <c r="J240">
        <v>2211</v>
      </c>
      <c r="K240" t="s">
        <v>797</v>
      </c>
    </row>
    <row r="241" spans="1:11" x14ac:dyDescent="0.35">
      <c r="A241">
        <v>1118017586</v>
      </c>
      <c r="B241" t="s">
        <v>171</v>
      </c>
      <c r="C241" s="150" t="s">
        <v>2961</v>
      </c>
      <c r="D241" t="s">
        <v>1843</v>
      </c>
      <c r="E241" t="s">
        <v>1844</v>
      </c>
      <c r="F241" t="s">
        <v>1922</v>
      </c>
      <c r="G241" t="s">
        <v>1923</v>
      </c>
      <c r="H241" t="s">
        <v>1498</v>
      </c>
      <c r="I241" t="s">
        <v>794</v>
      </c>
      <c r="J241">
        <v>2211</v>
      </c>
      <c r="K241" t="s">
        <v>797</v>
      </c>
    </row>
    <row r="242" spans="1:11" x14ac:dyDescent="0.35">
      <c r="A242">
        <v>1118017586</v>
      </c>
      <c r="B242" t="s">
        <v>171</v>
      </c>
      <c r="C242" s="152" t="s">
        <v>2962</v>
      </c>
      <c r="D242" t="s">
        <v>2847</v>
      </c>
      <c r="E242" t="s">
        <v>2848</v>
      </c>
      <c r="F242" t="s">
        <v>1433</v>
      </c>
      <c r="H242" t="s">
        <v>1498</v>
      </c>
      <c r="I242" t="s">
        <v>794</v>
      </c>
      <c r="J242">
        <v>2211</v>
      </c>
      <c r="K242" t="s">
        <v>797</v>
      </c>
    </row>
    <row r="243" spans="1:11" x14ac:dyDescent="0.35">
      <c r="A243">
        <v>1118017586</v>
      </c>
      <c r="B243" t="s">
        <v>171</v>
      </c>
      <c r="C243" s="152" t="s">
        <v>2962</v>
      </c>
      <c r="D243" t="s">
        <v>2847</v>
      </c>
      <c r="E243" t="s">
        <v>2849</v>
      </c>
      <c r="F243" t="s">
        <v>1433</v>
      </c>
      <c r="H243" t="s">
        <v>1498</v>
      </c>
      <c r="I243" t="s">
        <v>794</v>
      </c>
      <c r="J243">
        <v>2211</v>
      </c>
      <c r="K243" t="s">
        <v>797</v>
      </c>
    </row>
    <row r="244" spans="1:11" x14ac:dyDescent="0.35">
      <c r="A244">
        <v>1118017586</v>
      </c>
      <c r="B244" t="s">
        <v>171</v>
      </c>
      <c r="C244" s="152" t="s">
        <v>2962</v>
      </c>
      <c r="D244" t="s">
        <v>2850</v>
      </c>
      <c r="E244" t="s">
        <v>2852</v>
      </c>
      <c r="F244" t="s">
        <v>1433</v>
      </c>
      <c r="H244" t="s">
        <v>1498</v>
      </c>
      <c r="I244" t="s">
        <v>794</v>
      </c>
      <c r="J244">
        <v>2211</v>
      </c>
      <c r="K244" t="s">
        <v>797</v>
      </c>
    </row>
    <row r="245" spans="1:11" x14ac:dyDescent="0.35">
      <c r="A245">
        <v>1118018461</v>
      </c>
      <c r="B245" t="s">
        <v>240</v>
      </c>
      <c r="C245" s="150" t="s">
        <v>2961</v>
      </c>
      <c r="D245" t="s">
        <v>1967</v>
      </c>
      <c r="E245" t="s">
        <v>1443</v>
      </c>
      <c r="F245" t="s">
        <v>1433</v>
      </c>
      <c r="G245" t="s">
        <v>1434</v>
      </c>
      <c r="H245" t="s">
        <v>1439</v>
      </c>
      <c r="I245" t="s">
        <v>835</v>
      </c>
      <c r="J245">
        <v>2619</v>
      </c>
      <c r="K245" t="s">
        <v>2003</v>
      </c>
    </row>
    <row r="246" spans="1:11" x14ac:dyDescent="0.35">
      <c r="A246">
        <v>1118018461</v>
      </c>
      <c r="B246" t="s">
        <v>240</v>
      </c>
      <c r="C246" s="150" t="s">
        <v>2961</v>
      </c>
      <c r="D246" t="s">
        <v>1968</v>
      </c>
      <c r="E246" t="s">
        <v>1617</v>
      </c>
      <c r="F246" t="s">
        <v>1433</v>
      </c>
      <c r="G246" t="s">
        <v>1616</v>
      </c>
      <c r="H246" t="s">
        <v>1439</v>
      </c>
      <c r="I246" t="s">
        <v>835</v>
      </c>
      <c r="J246">
        <v>2619</v>
      </c>
      <c r="K246" t="s">
        <v>2003</v>
      </c>
    </row>
    <row r="247" spans="1:11" x14ac:dyDescent="0.35">
      <c r="A247">
        <v>1118018461</v>
      </c>
      <c r="B247" t="s">
        <v>240</v>
      </c>
      <c r="C247" s="150" t="s">
        <v>2961</v>
      </c>
      <c r="D247" t="s">
        <v>1772</v>
      </c>
      <c r="E247" t="s">
        <v>1515</v>
      </c>
      <c r="F247" t="s">
        <v>1493</v>
      </c>
      <c r="G247" t="s">
        <v>1514</v>
      </c>
      <c r="H247" t="s">
        <v>1498</v>
      </c>
      <c r="I247" t="s">
        <v>835</v>
      </c>
      <c r="J247">
        <v>2619</v>
      </c>
      <c r="K247" t="s">
        <v>2003</v>
      </c>
    </row>
    <row r="248" spans="1:11" x14ac:dyDescent="0.35">
      <c r="A248">
        <v>1118018461</v>
      </c>
      <c r="B248" t="s">
        <v>240</v>
      </c>
      <c r="C248" s="150" t="s">
        <v>2961</v>
      </c>
      <c r="D248" t="s">
        <v>1768</v>
      </c>
      <c r="E248" t="s">
        <v>1515</v>
      </c>
      <c r="F248" t="s">
        <v>1493</v>
      </c>
      <c r="G248" t="s">
        <v>1514</v>
      </c>
      <c r="H248" t="s">
        <v>1498</v>
      </c>
      <c r="I248" t="s">
        <v>835</v>
      </c>
      <c r="J248">
        <v>2619</v>
      </c>
      <c r="K248" t="s">
        <v>2003</v>
      </c>
    </row>
    <row r="249" spans="1:11" x14ac:dyDescent="0.35">
      <c r="A249">
        <v>1118018461</v>
      </c>
      <c r="B249" t="s">
        <v>240</v>
      </c>
      <c r="C249" s="150" t="s">
        <v>2961</v>
      </c>
      <c r="D249" t="s">
        <v>1814</v>
      </c>
      <c r="E249" t="s">
        <v>1523</v>
      </c>
      <c r="F249" t="s">
        <v>1493</v>
      </c>
      <c r="G249" t="s">
        <v>1522</v>
      </c>
      <c r="H249" t="s">
        <v>1498</v>
      </c>
      <c r="I249" t="s">
        <v>835</v>
      </c>
      <c r="J249">
        <v>2619</v>
      </c>
      <c r="K249" t="s">
        <v>2003</v>
      </c>
    </row>
    <row r="250" spans="1:11" x14ac:dyDescent="0.35">
      <c r="A250">
        <v>1118018461</v>
      </c>
      <c r="B250" t="s">
        <v>240</v>
      </c>
      <c r="C250" s="150" t="s">
        <v>2961</v>
      </c>
      <c r="D250" t="s">
        <v>1532</v>
      </c>
      <c r="E250" t="s">
        <v>1530</v>
      </c>
      <c r="F250" t="s">
        <v>1922</v>
      </c>
      <c r="G250" t="s">
        <v>1921</v>
      </c>
      <c r="H250" t="s">
        <v>1498</v>
      </c>
      <c r="I250" t="s">
        <v>835</v>
      </c>
      <c r="J250">
        <v>2619</v>
      </c>
      <c r="K250" t="s">
        <v>2003</v>
      </c>
    </row>
    <row r="251" spans="1:11" x14ac:dyDescent="0.35">
      <c r="A251">
        <v>1118018461</v>
      </c>
      <c r="B251" t="s">
        <v>240</v>
      </c>
      <c r="C251" s="150" t="s">
        <v>2961</v>
      </c>
      <c r="D251" t="s">
        <v>1832</v>
      </c>
      <c r="E251" t="s">
        <v>1796</v>
      </c>
      <c r="F251" t="s">
        <v>1493</v>
      </c>
      <c r="G251" t="s">
        <v>1949</v>
      </c>
      <c r="H251" t="s">
        <v>1498</v>
      </c>
      <c r="I251" t="s">
        <v>835</v>
      </c>
      <c r="J251">
        <v>2619</v>
      </c>
      <c r="K251" t="s">
        <v>2003</v>
      </c>
    </row>
    <row r="252" spans="1:11" x14ac:dyDescent="0.35">
      <c r="A252">
        <v>1118018461</v>
      </c>
      <c r="B252" t="s">
        <v>240</v>
      </c>
      <c r="C252" s="150" t="s">
        <v>2961</v>
      </c>
      <c r="D252" t="s">
        <v>1746</v>
      </c>
      <c r="E252" t="s">
        <v>1501</v>
      </c>
      <c r="F252" t="s">
        <v>1493</v>
      </c>
      <c r="G252" t="s">
        <v>1500</v>
      </c>
      <c r="H252" t="s">
        <v>1498</v>
      </c>
      <c r="I252" t="s">
        <v>835</v>
      </c>
      <c r="J252">
        <v>2619</v>
      </c>
      <c r="K252" t="s">
        <v>2003</v>
      </c>
    </row>
    <row r="253" spans="1:11" x14ac:dyDescent="0.35">
      <c r="A253">
        <v>1118018461</v>
      </c>
      <c r="B253" t="s">
        <v>240</v>
      </c>
      <c r="C253" s="152" t="s">
        <v>2962</v>
      </c>
      <c r="D253" t="s">
        <v>2815</v>
      </c>
      <c r="E253" t="s">
        <v>2816</v>
      </c>
      <c r="F253" t="s">
        <v>1922</v>
      </c>
      <c r="H253" t="s">
        <v>1498</v>
      </c>
      <c r="I253" t="s">
        <v>835</v>
      </c>
      <c r="J253">
        <v>2619</v>
      </c>
      <c r="K253" t="s">
        <v>2003</v>
      </c>
    </row>
    <row r="254" spans="1:11" x14ac:dyDescent="0.35">
      <c r="A254">
        <v>1118018461</v>
      </c>
      <c r="B254" t="s">
        <v>240</v>
      </c>
      <c r="C254" s="152" t="s">
        <v>2962</v>
      </c>
      <c r="D254" t="s">
        <v>2815</v>
      </c>
      <c r="E254" t="s">
        <v>2817</v>
      </c>
      <c r="F254" t="s">
        <v>1922</v>
      </c>
      <c r="H254" t="s">
        <v>1498</v>
      </c>
      <c r="I254" t="s">
        <v>835</v>
      </c>
      <c r="J254">
        <v>2619</v>
      </c>
      <c r="K254" t="s">
        <v>2003</v>
      </c>
    </row>
    <row r="255" spans="1:11" x14ac:dyDescent="0.35">
      <c r="A255">
        <v>1118018461</v>
      </c>
      <c r="B255" t="s">
        <v>240</v>
      </c>
      <c r="C255" s="152" t="s">
        <v>2962</v>
      </c>
      <c r="D255" t="s">
        <v>2818</v>
      </c>
      <c r="E255" t="s">
        <v>2819</v>
      </c>
      <c r="F255" t="s">
        <v>1493</v>
      </c>
      <c r="H255" t="s">
        <v>1498</v>
      </c>
      <c r="I255" t="s">
        <v>835</v>
      </c>
      <c r="J255">
        <v>2619</v>
      </c>
      <c r="K255" t="s">
        <v>2003</v>
      </c>
    </row>
    <row r="256" spans="1:11" x14ac:dyDescent="0.35">
      <c r="A256">
        <v>1118018461</v>
      </c>
      <c r="B256" t="s">
        <v>240</v>
      </c>
      <c r="C256" s="152" t="s">
        <v>2962</v>
      </c>
      <c r="D256" t="s">
        <v>2818</v>
      </c>
      <c r="E256" t="s">
        <v>2820</v>
      </c>
      <c r="F256" t="s">
        <v>1433</v>
      </c>
      <c r="H256" t="s">
        <v>1498</v>
      </c>
      <c r="I256" t="s">
        <v>835</v>
      </c>
      <c r="J256">
        <v>2619</v>
      </c>
      <c r="K256" t="s">
        <v>2003</v>
      </c>
    </row>
    <row r="257" spans="1:11" x14ac:dyDescent="0.35">
      <c r="A257">
        <v>1118018461</v>
      </c>
      <c r="B257" t="s">
        <v>240</v>
      </c>
      <c r="C257" s="152" t="s">
        <v>2962</v>
      </c>
      <c r="D257" t="s">
        <v>2821</v>
      </c>
      <c r="E257" t="s">
        <v>2822</v>
      </c>
      <c r="F257" t="s">
        <v>1922</v>
      </c>
      <c r="H257" t="s">
        <v>1498</v>
      </c>
      <c r="I257" t="s">
        <v>835</v>
      </c>
      <c r="J257">
        <v>2619</v>
      </c>
      <c r="K257" t="s">
        <v>2003</v>
      </c>
    </row>
    <row r="258" spans="1:11" x14ac:dyDescent="0.35">
      <c r="A258">
        <v>1118018461</v>
      </c>
      <c r="B258" t="s">
        <v>240</v>
      </c>
      <c r="C258" s="152" t="s">
        <v>2962</v>
      </c>
      <c r="D258" t="s">
        <v>2821</v>
      </c>
      <c r="E258" t="s">
        <v>1689</v>
      </c>
      <c r="F258" t="s">
        <v>2278</v>
      </c>
      <c r="H258" t="s">
        <v>1439</v>
      </c>
      <c r="I258" t="s">
        <v>835</v>
      </c>
      <c r="J258">
        <v>2619</v>
      </c>
      <c r="K258" t="s">
        <v>2003</v>
      </c>
    </row>
    <row r="259" spans="1:11" x14ac:dyDescent="0.35">
      <c r="A259">
        <v>1118018461</v>
      </c>
      <c r="B259" t="s">
        <v>240</v>
      </c>
      <c r="C259" s="152" t="s">
        <v>2962</v>
      </c>
      <c r="D259" t="s">
        <v>2823</v>
      </c>
      <c r="E259" t="s">
        <v>2824</v>
      </c>
      <c r="F259" t="s">
        <v>1917</v>
      </c>
      <c r="H259" t="s">
        <v>1498</v>
      </c>
      <c r="I259" t="s">
        <v>835</v>
      </c>
      <c r="J259">
        <v>2619</v>
      </c>
      <c r="K259" t="s">
        <v>2003</v>
      </c>
    </row>
    <row r="260" spans="1:11" x14ac:dyDescent="0.35">
      <c r="A260">
        <v>1118018461</v>
      </c>
      <c r="B260" t="s">
        <v>240</v>
      </c>
      <c r="C260" s="152" t="s">
        <v>2962</v>
      </c>
      <c r="D260" t="s">
        <v>2823</v>
      </c>
      <c r="E260" t="s">
        <v>2825</v>
      </c>
      <c r="F260" t="s">
        <v>1917</v>
      </c>
      <c r="H260" t="s">
        <v>1498</v>
      </c>
      <c r="I260" t="s">
        <v>835</v>
      </c>
      <c r="J260">
        <v>2619</v>
      </c>
      <c r="K260" t="s">
        <v>2003</v>
      </c>
    </row>
    <row r="261" spans="1:11" x14ac:dyDescent="0.35">
      <c r="A261">
        <v>1118018461</v>
      </c>
      <c r="B261" t="s">
        <v>240</v>
      </c>
      <c r="C261" s="152" t="s">
        <v>2962</v>
      </c>
      <c r="D261" t="s">
        <v>2826</v>
      </c>
      <c r="E261" t="s">
        <v>2827</v>
      </c>
      <c r="F261" t="s">
        <v>1433</v>
      </c>
      <c r="H261" t="s">
        <v>1498</v>
      </c>
      <c r="I261" t="s">
        <v>835</v>
      </c>
      <c r="J261">
        <v>2619</v>
      </c>
      <c r="K261" t="s">
        <v>2003</v>
      </c>
    </row>
    <row r="262" spans="1:11" x14ac:dyDescent="0.35">
      <c r="A262">
        <v>1118018461</v>
      </c>
      <c r="B262" t="s">
        <v>240</v>
      </c>
      <c r="C262" s="152" t="s">
        <v>2962</v>
      </c>
      <c r="D262" t="s">
        <v>2826</v>
      </c>
      <c r="E262" t="s">
        <v>2828</v>
      </c>
      <c r="F262" t="s">
        <v>1917</v>
      </c>
      <c r="H262" t="s">
        <v>1498</v>
      </c>
      <c r="I262" t="s">
        <v>835</v>
      </c>
      <c r="J262">
        <v>2619</v>
      </c>
      <c r="K262" t="s">
        <v>2003</v>
      </c>
    </row>
    <row r="263" spans="1:11" x14ac:dyDescent="0.35">
      <c r="A263">
        <v>1118018461</v>
      </c>
      <c r="B263" t="s">
        <v>240</v>
      </c>
      <c r="C263" s="152" t="s">
        <v>2962</v>
      </c>
      <c r="D263" t="s">
        <v>2829</v>
      </c>
      <c r="E263" t="s">
        <v>1623</v>
      </c>
      <c r="F263" t="s">
        <v>2278</v>
      </c>
      <c r="H263" t="s">
        <v>1439</v>
      </c>
      <c r="I263" t="s">
        <v>835</v>
      </c>
      <c r="J263">
        <v>2619</v>
      </c>
      <c r="K263" t="s">
        <v>2003</v>
      </c>
    </row>
    <row r="264" spans="1:11" x14ac:dyDescent="0.35">
      <c r="A264">
        <v>1118018461</v>
      </c>
      <c r="B264" t="s">
        <v>240</v>
      </c>
      <c r="C264" s="152" t="s">
        <v>2962</v>
      </c>
      <c r="D264" t="s">
        <v>2829</v>
      </c>
      <c r="E264" t="s">
        <v>2830</v>
      </c>
      <c r="F264" t="s">
        <v>1433</v>
      </c>
      <c r="H264" t="s">
        <v>1498</v>
      </c>
      <c r="I264" t="s">
        <v>835</v>
      </c>
      <c r="J264">
        <v>2619</v>
      </c>
      <c r="K264" t="s">
        <v>2003</v>
      </c>
    </row>
    <row r="265" spans="1:11" x14ac:dyDescent="0.35">
      <c r="A265">
        <v>1118018714</v>
      </c>
      <c r="B265" t="s">
        <v>245</v>
      </c>
      <c r="C265" s="150" t="s">
        <v>2961</v>
      </c>
      <c r="D265" t="s">
        <v>1969</v>
      </c>
      <c r="E265" t="s">
        <v>1970</v>
      </c>
      <c r="F265" t="s">
        <v>1433</v>
      </c>
      <c r="G265" t="s">
        <v>1453</v>
      </c>
      <c r="H265" t="s">
        <v>1439</v>
      </c>
      <c r="I265" t="s">
        <v>840</v>
      </c>
      <c r="J265">
        <v>2651</v>
      </c>
      <c r="K265" t="s">
        <v>843</v>
      </c>
    </row>
    <row r="266" spans="1:11" x14ac:dyDescent="0.35">
      <c r="A266">
        <v>1118018714</v>
      </c>
      <c r="B266" t="s">
        <v>245</v>
      </c>
      <c r="C266" s="150" t="s">
        <v>2961</v>
      </c>
      <c r="D266" t="s">
        <v>1971</v>
      </c>
      <c r="E266" t="s">
        <v>1970</v>
      </c>
      <c r="F266" t="s">
        <v>1433</v>
      </c>
      <c r="G266" t="s">
        <v>1453</v>
      </c>
      <c r="H266" t="s">
        <v>1439</v>
      </c>
      <c r="I266" t="s">
        <v>840</v>
      </c>
      <c r="J266">
        <v>2651</v>
      </c>
      <c r="K266" t="s">
        <v>843</v>
      </c>
    </row>
    <row r="267" spans="1:11" x14ac:dyDescent="0.35">
      <c r="A267">
        <v>1118018714</v>
      </c>
      <c r="B267" t="s">
        <v>245</v>
      </c>
      <c r="C267" s="150" t="s">
        <v>2961</v>
      </c>
      <c r="D267" t="s">
        <v>1828</v>
      </c>
      <c r="E267" t="s">
        <v>1526</v>
      </c>
      <c r="F267" t="s">
        <v>1493</v>
      </c>
      <c r="G267" t="s">
        <v>1825</v>
      </c>
      <c r="H267" t="s">
        <v>1498</v>
      </c>
      <c r="I267" t="s">
        <v>840</v>
      </c>
      <c r="J267">
        <v>2651</v>
      </c>
      <c r="K267" t="s">
        <v>843</v>
      </c>
    </row>
    <row r="268" spans="1:11" x14ac:dyDescent="0.35">
      <c r="A268">
        <v>1118018714</v>
      </c>
      <c r="B268" t="s">
        <v>245</v>
      </c>
      <c r="C268" s="152" t="s">
        <v>2962</v>
      </c>
      <c r="D268" t="s">
        <v>2831</v>
      </c>
      <c r="E268" t="s">
        <v>2832</v>
      </c>
      <c r="F268" t="s">
        <v>2278</v>
      </c>
      <c r="H268" t="s">
        <v>1439</v>
      </c>
      <c r="I268" t="s">
        <v>840</v>
      </c>
      <c r="J268">
        <v>2651</v>
      </c>
      <c r="K268" t="s">
        <v>843</v>
      </c>
    </row>
    <row r="269" spans="1:11" x14ac:dyDescent="0.35">
      <c r="A269">
        <v>1118018714</v>
      </c>
      <c r="B269" t="s">
        <v>245</v>
      </c>
      <c r="C269" s="152" t="s">
        <v>2962</v>
      </c>
      <c r="D269" t="s">
        <v>2831</v>
      </c>
      <c r="E269" t="s">
        <v>2833</v>
      </c>
      <c r="F269" t="s">
        <v>2278</v>
      </c>
      <c r="H269" t="s">
        <v>1439</v>
      </c>
      <c r="I269" t="s">
        <v>840</v>
      </c>
      <c r="J269">
        <v>2651</v>
      </c>
      <c r="K269" t="s">
        <v>843</v>
      </c>
    </row>
    <row r="270" spans="1:11" x14ac:dyDescent="0.35">
      <c r="A270">
        <v>1118018714</v>
      </c>
      <c r="B270" t="s">
        <v>245</v>
      </c>
      <c r="C270" s="152" t="s">
        <v>2962</v>
      </c>
      <c r="D270" t="s">
        <v>2834</v>
      </c>
      <c r="E270" t="s">
        <v>2835</v>
      </c>
      <c r="F270" t="s">
        <v>2278</v>
      </c>
      <c r="H270" t="s">
        <v>1439</v>
      </c>
      <c r="I270" t="s">
        <v>840</v>
      </c>
      <c r="J270">
        <v>2651</v>
      </c>
      <c r="K270" t="s">
        <v>843</v>
      </c>
    </row>
    <row r="271" spans="1:11" x14ac:dyDescent="0.35">
      <c r="A271">
        <v>1118018714</v>
      </c>
      <c r="B271" t="s">
        <v>245</v>
      </c>
      <c r="C271" s="152" t="s">
        <v>2962</v>
      </c>
      <c r="D271" t="s">
        <v>2834</v>
      </c>
      <c r="E271" t="s">
        <v>2836</v>
      </c>
      <c r="F271" t="s">
        <v>1433</v>
      </c>
      <c r="H271" t="s">
        <v>1498</v>
      </c>
      <c r="I271" t="s">
        <v>840</v>
      </c>
      <c r="J271">
        <v>2651</v>
      </c>
      <c r="K271" t="s">
        <v>843</v>
      </c>
    </row>
    <row r="272" spans="1:11" x14ac:dyDescent="0.35">
      <c r="A272">
        <v>1118018714</v>
      </c>
      <c r="B272" t="s">
        <v>245</v>
      </c>
      <c r="C272" s="152" t="s">
        <v>2962</v>
      </c>
      <c r="D272" t="s">
        <v>2837</v>
      </c>
      <c r="E272" t="s">
        <v>2838</v>
      </c>
      <c r="F272" t="s">
        <v>1433</v>
      </c>
      <c r="H272" t="s">
        <v>1498</v>
      </c>
      <c r="I272" t="s">
        <v>840</v>
      </c>
      <c r="J272">
        <v>2651</v>
      </c>
      <c r="K272" t="s">
        <v>843</v>
      </c>
    </row>
    <row r="273" spans="1:11" x14ac:dyDescent="0.35">
      <c r="A273">
        <v>1118018714</v>
      </c>
      <c r="B273" t="s">
        <v>245</v>
      </c>
      <c r="C273" s="152" t="s">
        <v>2962</v>
      </c>
      <c r="D273" t="s">
        <v>2837</v>
      </c>
      <c r="E273" t="s">
        <v>2839</v>
      </c>
      <c r="F273" t="s">
        <v>2278</v>
      </c>
      <c r="H273" t="s">
        <v>1439</v>
      </c>
      <c r="I273" t="s">
        <v>840</v>
      </c>
      <c r="J273">
        <v>2651</v>
      </c>
      <c r="K273" t="s">
        <v>843</v>
      </c>
    </row>
    <row r="274" spans="1:11" x14ac:dyDescent="0.35">
      <c r="A274">
        <v>1118018714</v>
      </c>
      <c r="B274" t="s">
        <v>245</v>
      </c>
      <c r="C274" s="152" t="s">
        <v>2962</v>
      </c>
      <c r="D274" t="s">
        <v>2840</v>
      </c>
      <c r="E274" t="s">
        <v>2841</v>
      </c>
      <c r="F274" t="s">
        <v>2278</v>
      </c>
      <c r="H274" t="s">
        <v>1439</v>
      </c>
      <c r="I274" t="s">
        <v>840</v>
      </c>
      <c r="J274">
        <v>2651</v>
      </c>
      <c r="K274" t="s">
        <v>843</v>
      </c>
    </row>
    <row r="275" spans="1:11" x14ac:dyDescent="0.35">
      <c r="A275">
        <v>1118018714</v>
      </c>
      <c r="B275" t="s">
        <v>245</v>
      </c>
      <c r="C275" s="152" t="s">
        <v>2962</v>
      </c>
      <c r="D275" t="s">
        <v>2840</v>
      </c>
      <c r="E275" t="s">
        <v>2842</v>
      </c>
      <c r="F275" t="s">
        <v>1433</v>
      </c>
      <c r="H275" t="s">
        <v>1498</v>
      </c>
      <c r="I275" t="s">
        <v>840</v>
      </c>
      <c r="J275">
        <v>2651</v>
      </c>
      <c r="K275" t="s">
        <v>843</v>
      </c>
    </row>
    <row r="276" spans="1:11" x14ac:dyDescent="0.35">
      <c r="A276">
        <v>1118018714</v>
      </c>
      <c r="B276" t="s">
        <v>245</v>
      </c>
      <c r="C276" s="152" t="s">
        <v>2962</v>
      </c>
      <c r="D276" t="s">
        <v>2843</v>
      </c>
      <c r="E276" t="s">
        <v>2844</v>
      </c>
      <c r="F276" t="s">
        <v>2278</v>
      </c>
      <c r="H276" t="s">
        <v>1439</v>
      </c>
      <c r="I276" t="s">
        <v>840</v>
      </c>
      <c r="J276">
        <v>2651</v>
      </c>
      <c r="K276" t="s">
        <v>843</v>
      </c>
    </row>
    <row r="277" spans="1:11" x14ac:dyDescent="0.35">
      <c r="A277">
        <v>1118018714</v>
      </c>
      <c r="B277" t="s">
        <v>245</v>
      </c>
      <c r="C277" s="152" t="s">
        <v>2962</v>
      </c>
      <c r="D277" t="s">
        <v>2843</v>
      </c>
      <c r="E277" t="s">
        <v>2845</v>
      </c>
      <c r="F277" t="s">
        <v>1493</v>
      </c>
      <c r="H277" t="s">
        <v>1498</v>
      </c>
      <c r="I277" t="s">
        <v>840</v>
      </c>
      <c r="J277">
        <v>2651</v>
      </c>
      <c r="K277" t="s">
        <v>843</v>
      </c>
    </row>
    <row r="278" spans="1:11" x14ac:dyDescent="0.35">
      <c r="A278">
        <v>1118020225</v>
      </c>
      <c r="B278" t="s">
        <v>158</v>
      </c>
      <c r="C278" s="150" t="s">
        <v>2961</v>
      </c>
      <c r="D278" t="s">
        <v>1957</v>
      </c>
      <c r="E278" t="s">
        <v>1623</v>
      </c>
      <c r="F278" t="s">
        <v>1433</v>
      </c>
      <c r="G278" t="s">
        <v>1445</v>
      </c>
      <c r="H278" t="s">
        <v>1439</v>
      </c>
      <c r="I278" t="s">
        <v>784</v>
      </c>
      <c r="J278">
        <v>4222</v>
      </c>
      <c r="K278" t="s">
        <v>787</v>
      </c>
    </row>
    <row r="279" spans="1:11" x14ac:dyDescent="0.35">
      <c r="A279">
        <v>1118020225</v>
      </c>
      <c r="B279" t="s">
        <v>158</v>
      </c>
      <c r="C279" s="150" t="s">
        <v>2961</v>
      </c>
      <c r="D279" t="s">
        <v>1958</v>
      </c>
      <c r="E279" t="s">
        <v>1959</v>
      </c>
      <c r="F279" t="s">
        <v>1433</v>
      </c>
      <c r="G279" t="s">
        <v>1567</v>
      </c>
      <c r="H279" t="s">
        <v>1439</v>
      </c>
      <c r="I279" t="s">
        <v>784</v>
      </c>
      <c r="J279">
        <v>4222</v>
      </c>
      <c r="K279" t="s">
        <v>787</v>
      </c>
    </row>
    <row r="280" spans="1:11" x14ac:dyDescent="0.35">
      <c r="A280">
        <v>1118020225</v>
      </c>
      <c r="B280" t="s">
        <v>158</v>
      </c>
      <c r="C280" s="150" t="s">
        <v>2961</v>
      </c>
      <c r="D280" t="s">
        <v>1837</v>
      </c>
      <c r="E280" t="s">
        <v>1530</v>
      </c>
      <c r="F280" t="s">
        <v>1922</v>
      </c>
      <c r="G280" t="s">
        <v>1921</v>
      </c>
      <c r="H280" t="s">
        <v>1498</v>
      </c>
      <c r="I280" t="s">
        <v>784</v>
      </c>
      <c r="J280">
        <v>4222</v>
      </c>
      <c r="K280" t="s">
        <v>787</v>
      </c>
    </row>
    <row r="281" spans="1:11" x14ac:dyDescent="0.35">
      <c r="A281">
        <v>1118020225</v>
      </c>
      <c r="B281" t="s">
        <v>158</v>
      </c>
      <c r="C281" s="150" t="s">
        <v>2961</v>
      </c>
      <c r="D281" t="s">
        <v>1747</v>
      </c>
      <c r="E281" t="s">
        <v>1501</v>
      </c>
      <c r="F281" t="s">
        <v>1493</v>
      </c>
      <c r="G281" t="s">
        <v>1500</v>
      </c>
      <c r="H281" t="s">
        <v>1498</v>
      </c>
      <c r="I281" t="s">
        <v>784</v>
      </c>
      <c r="J281">
        <v>4222</v>
      </c>
      <c r="K281" t="s">
        <v>787</v>
      </c>
    </row>
    <row r="282" spans="1:11" x14ac:dyDescent="0.35">
      <c r="A282">
        <v>1118020225</v>
      </c>
      <c r="B282" t="s">
        <v>158</v>
      </c>
      <c r="C282" s="150" t="s">
        <v>2961</v>
      </c>
      <c r="D282" t="s">
        <v>1815</v>
      </c>
      <c r="E282" t="s">
        <v>1523</v>
      </c>
      <c r="F282" t="s">
        <v>1493</v>
      </c>
      <c r="G282" t="s">
        <v>1522</v>
      </c>
      <c r="H282" t="s">
        <v>1498</v>
      </c>
      <c r="I282" t="s">
        <v>784</v>
      </c>
      <c r="J282">
        <v>4222</v>
      </c>
      <c r="K282" t="s">
        <v>787</v>
      </c>
    </row>
    <row r="283" spans="1:11" x14ac:dyDescent="0.35">
      <c r="A283">
        <v>1118020225</v>
      </c>
      <c r="B283" t="s">
        <v>158</v>
      </c>
      <c r="C283" s="152" t="s">
        <v>2962</v>
      </c>
      <c r="D283" t="s">
        <v>2865</v>
      </c>
      <c r="E283" t="s">
        <v>2866</v>
      </c>
      <c r="F283" t="s">
        <v>1922</v>
      </c>
      <c r="H283" t="s">
        <v>1498</v>
      </c>
      <c r="I283" t="s">
        <v>784</v>
      </c>
      <c r="J283">
        <v>4222</v>
      </c>
      <c r="K283" t="s">
        <v>787</v>
      </c>
    </row>
    <row r="284" spans="1:11" x14ac:dyDescent="0.35">
      <c r="A284">
        <v>1118020225</v>
      </c>
      <c r="B284" t="s">
        <v>158</v>
      </c>
      <c r="C284" s="152" t="s">
        <v>2962</v>
      </c>
      <c r="D284" t="s">
        <v>2865</v>
      </c>
      <c r="E284" t="s">
        <v>2867</v>
      </c>
      <c r="F284" t="s">
        <v>1922</v>
      </c>
      <c r="H284" t="s">
        <v>1498</v>
      </c>
      <c r="I284" t="s">
        <v>784</v>
      </c>
      <c r="J284">
        <v>4222</v>
      </c>
      <c r="K284" t="s">
        <v>787</v>
      </c>
    </row>
    <row r="285" spans="1:11" x14ac:dyDescent="0.35">
      <c r="A285">
        <v>1118020225</v>
      </c>
      <c r="B285" t="s">
        <v>158</v>
      </c>
      <c r="C285" s="152" t="s">
        <v>2962</v>
      </c>
      <c r="D285" t="s">
        <v>2868</v>
      </c>
      <c r="E285" t="s">
        <v>2428</v>
      </c>
      <c r="F285" t="s">
        <v>1922</v>
      </c>
      <c r="H285" t="s">
        <v>1498</v>
      </c>
      <c r="I285" t="s">
        <v>784</v>
      </c>
      <c r="J285">
        <v>4222</v>
      </c>
      <c r="K285" t="s">
        <v>787</v>
      </c>
    </row>
    <row r="286" spans="1:11" x14ac:dyDescent="0.35">
      <c r="A286">
        <v>1118020225</v>
      </c>
      <c r="B286" t="s">
        <v>158</v>
      </c>
      <c r="C286" s="152" t="s">
        <v>2962</v>
      </c>
      <c r="D286" t="s">
        <v>2868</v>
      </c>
      <c r="E286" t="s">
        <v>2869</v>
      </c>
      <c r="F286" t="s">
        <v>1433</v>
      </c>
      <c r="H286" t="s">
        <v>1498</v>
      </c>
      <c r="I286" t="s">
        <v>784</v>
      </c>
      <c r="J286">
        <v>4222</v>
      </c>
      <c r="K286" t="s">
        <v>787</v>
      </c>
    </row>
    <row r="287" spans="1:11" x14ac:dyDescent="0.35">
      <c r="A287">
        <v>1118020225</v>
      </c>
      <c r="B287" t="s">
        <v>158</v>
      </c>
      <c r="C287" s="152" t="s">
        <v>2962</v>
      </c>
      <c r="D287" t="s">
        <v>2870</v>
      </c>
      <c r="E287" t="s">
        <v>2871</v>
      </c>
      <c r="F287" t="s">
        <v>1433</v>
      </c>
      <c r="H287" t="s">
        <v>1498</v>
      </c>
      <c r="I287" t="s">
        <v>784</v>
      </c>
      <c r="J287">
        <v>4222</v>
      </c>
      <c r="K287" t="s">
        <v>787</v>
      </c>
    </row>
    <row r="288" spans="1:11" x14ac:dyDescent="0.35">
      <c r="A288">
        <v>1118020225</v>
      </c>
      <c r="B288" t="s">
        <v>158</v>
      </c>
      <c r="C288" s="152" t="s">
        <v>2962</v>
      </c>
      <c r="D288" t="s">
        <v>2870</v>
      </c>
      <c r="E288" t="s">
        <v>2872</v>
      </c>
      <c r="F288" t="s">
        <v>1433</v>
      </c>
      <c r="H288" t="s">
        <v>1498</v>
      </c>
      <c r="I288" t="s">
        <v>784</v>
      </c>
      <c r="J288">
        <v>4222</v>
      </c>
      <c r="K288" t="s">
        <v>787</v>
      </c>
    </row>
    <row r="289" spans="1:11" x14ac:dyDescent="0.35">
      <c r="A289">
        <v>1118020225</v>
      </c>
      <c r="B289" t="s">
        <v>158</v>
      </c>
      <c r="C289" s="152" t="s">
        <v>2962</v>
      </c>
      <c r="D289" t="s">
        <v>2873</v>
      </c>
      <c r="E289" t="s">
        <v>2874</v>
      </c>
      <c r="F289" t="s">
        <v>1493</v>
      </c>
      <c r="H289" t="s">
        <v>1498</v>
      </c>
      <c r="I289" t="s">
        <v>784</v>
      </c>
      <c r="J289">
        <v>4222</v>
      </c>
      <c r="K289" t="s">
        <v>787</v>
      </c>
    </row>
    <row r="290" spans="1:11" x14ac:dyDescent="0.35">
      <c r="A290">
        <v>1118020225</v>
      </c>
      <c r="B290" t="s">
        <v>158</v>
      </c>
      <c r="C290" s="152" t="s">
        <v>2962</v>
      </c>
      <c r="D290" t="s">
        <v>2873</v>
      </c>
      <c r="E290" t="s">
        <v>2875</v>
      </c>
      <c r="F290" t="s">
        <v>1433</v>
      </c>
      <c r="H290" t="s">
        <v>1498</v>
      </c>
      <c r="I290" t="s">
        <v>784</v>
      </c>
      <c r="J290">
        <v>4222</v>
      </c>
      <c r="K290" t="s">
        <v>787</v>
      </c>
    </row>
    <row r="291" spans="1:11" x14ac:dyDescent="0.35">
      <c r="A291">
        <v>1118020225</v>
      </c>
      <c r="B291" t="s">
        <v>158</v>
      </c>
      <c r="C291" s="152" t="s">
        <v>2962</v>
      </c>
      <c r="D291" t="s">
        <v>2876</v>
      </c>
      <c r="E291" t="s">
        <v>2877</v>
      </c>
      <c r="F291" t="s">
        <v>1917</v>
      </c>
      <c r="H291" t="s">
        <v>1498</v>
      </c>
      <c r="I291" t="s">
        <v>784</v>
      </c>
      <c r="J291">
        <v>4222</v>
      </c>
      <c r="K291" t="s">
        <v>787</v>
      </c>
    </row>
    <row r="292" spans="1:11" x14ac:dyDescent="0.35">
      <c r="A292">
        <v>1118020225</v>
      </c>
      <c r="B292" t="s">
        <v>158</v>
      </c>
      <c r="C292" s="152" t="s">
        <v>2962</v>
      </c>
      <c r="D292" t="s">
        <v>2876</v>
      </c>
      <c r="E292" t="s">
        <v>2878</v>
      </c>
      <c r="F292" t="s">
        <v>1433</v>
      </c>
      <c r="H292" t="s">
        <v>1498</v>
      </c>
      <c r="I292" t="s">
        <v>784</v>
      </c>
      <c r="J292">
        <v>4222</v>
      </c>
      <c r="K292" t="s">
        <v>787</v>
      </c>
    </row>
    <row r="293" spans="1:11" x14ac:dyDescent="0.35">
      <c r="A293">
        <v>1118022146</v>
      </c>
      <c r="B293" t="s">
        <v>123</v>
      </c>
      <c r="C293" s="150" t="s">
        <v>2961</v>
      </c>
      <c r="D293" t="s">
        <v>1944</v>
      </c>
      <c r="E293" t="s">
        <v>1945</v>
      </c>
      <c r="F293" t="s">
        <v>1433</v>
      </c>
      <c r="G293" t="s">
        <v>1460</v>
      </c>
      <c r="H293" t="s">
        <v>1439</v>
      </c>
      <c r="I293" t="s">
        <v>1998</v>
      </c>
      <c r="J293">
        <v>2432</v>
      </c>
      <c r="K293" t="s">
        <v>686</v>
      </c>
    </row>
    <row r="294" spans="1:11" x14ac:dyDescent="0.35">
      <c r="A294">
        <v>1118022146</v>
      </c>
      <c r="B294" t="s">
        <v>123</v>
      </c>
      <c r="C294" s="150" t="s">
        <v>2961</v>
      </c>
      <c r="D294" t="s">
        <v>1946</v>
      </c>
      <c r="E294" t="s">
        <v>1947</v>
      </c>
      <c r="F294" t="s">
        <v>1433</v>
      </c>
      <c r="G294" t="s">
        <v>1460</v>
      </c>
      <c r="H294" t="s">
        <v>1439</v>
      </c>
      <c r="I294" t="s">
        <v>1998</v>
      </c>
      <c r="J294">
        <v>2432</v>
      </c>
      <c r="K294" t="s">
        <v>686</v>
      </c>
    </row>
    <row r="295" spans="1:11" x14ac:dyDescent="0.35">
      <c r="A295">
        <v>1118022146</v>
      </c>
      <c r="B295" t="s">
        <v>123</v>
      </c>
      <c r="C295" s="150" t="s">
        <v>2961</v>
      </c>
      <c r="D295" t="s">
        <v>1948</v>
      </c>
      <c r="E295" t="s">
        <v>1947</v>
      </c>
      <c r="F295" t="s">
        <v>1433</v>
      </c>
      <c r="G295" t="s">
        <v>1460</v>
      </c>
      <c r="H295" t="s">
        <v>1439</v>
      </c>
      <c r="I295" t="s">
        <v>1998</v>
      </c>
      <c r="J295">
        <v>2432</v>
      </c>
      <c r="K295" t="s">
        <v>686</v>
      </c>
    </row>
    <row r="296" spans="1:11" x14ac:dyDescent="0.35">
      <c r="A296">
        <v>1118022146</v>
      </c>
      <c r="B296" t="s">
        <v>123</v>
      </c>
      <c r="C296" s="150" t="s">
        <v>2961</v>
      </c>
      <c r="D296" t="s">
        <v>1525</v>
      </c>
      <c r="E296" t="s">
        <v>1526</v>
      </c>
      <c r="F296" t="s">
        <v>1493</v>
      </c>
      <c r="G296" t="s">
        <v>1825</v>
      </c>
      <c r="H296" t="s">
        <v>1498</v>
      </c>
      <c r="I296" t="s">
        <v>1998</v>
      </c>
      <c r="J296">
        <v>2432</v>
      </c>
      <c r="K296" t="s">
        <v>686</v>
      </c>
    </row>
    <row r="297" spans="1:11" x14ac:dyDescent="0.35">
      <c r="A297">
        <v>1118022146</v>
      </c>
      <c r="B297" t="s">
        <v>123</v>
      </c>
      <c r="C297" s="150" t="s">
        <v>2961</v>
      </c>
      <c r="D297" t="s">
        <v>1829</v>
      </c>
      <c r="E297" t="s">
        <v>1796</v>
      </c>
      <c r="F297" t="s">
        <v>1493</v>
      </c>
      <c r="G297" t="s">
        <v>1949</v>
      </c>
      <c r="H297" t="s">
        <v>1498</v>
      </c>
      <c r="I297" t="s">
        <v>1998</v>
      </c>
      <c r="J297">
        <v>2432</v>
      </c>
      <c r="K297" t="s">
        <v>686</v>
      </c>
    </row>
    <row r="298" spans="1:11" x14ac:dyDescent="0.35">
      <c r="A298">
        <v>1118022146</v>
      </c>
      <c r="B298" t="s">
        <v>123</v>
      </c>
      <c r="C298" s="150" t="s">
        <v>2961</v>
      </c>
      <c r="D298" t="s">
        <v>1513</v>
      </c>
      <c r="E298" t="s">
        <v>1515</v>
      </c>
      <c r="F298" t="s">
        <v>1493</v>
      </c>
      <c r="G298" t="s">
        <v>1514</v>
      </c>
      <c r="H298" t="s">
        <v>1498</v>
      </c>
      <c r="I298" t="s">
        <v>1998</v>
      </c>
      <c r="J298">
        <v>2432</v>
      </c>
      <c r="K298" t="s">
        <v>686</v>
      </c>
    </row>
    <row r="299" spans="1:11" x14ac:dyDescent="0.35">
      <c r="A299">
        <v>1118022146</v>
      </c>
      <c r="B299" t="s">
        <v>123</v>
      </c>
      <c r="C299" s="150" t="s">
        <v>2961</v>
      </c>
      <c r="D299" t="s">
        <v>1950</v>
      </c>
      <c r="E299" t="s">
        <v>1695</v>
      </c>
      <c r="F299" t="s">
        <v>1433</v>
      </c>
      <c r="G299" t="s">
        <v>1489</v>
      </c>
      <c r="H299" t="s">
        <v>1439</v>
      </c>
      <c r="I299" t="s">
        <v>1998</v>
      </c>
      <c r="J299">
        <v>2432</v>
      </c>
      <c r="K299" t="s">
        <v>686</v>
      </c>
    </row>
    <row r="300" spans="1:11" x14ac:dyDescent="0.35">
      <c r="A300">
        <v>1118022146</v>
      </c>
      <c r="B300" t="s">
        <v>123</v>
      </c>
      <c r="C300" s="150" t="s">
        <v>2961</v>
      </c>
      <c r="D300" t="s">
        <v>1951</v>
      </c>
      <c r="E300" t="s">
        <v>1695</v>
      </c>
      <c r="F300" t="s">
        <v>1433</v>
      </c>
      <c r="G300" t="s">
        <v>1489</v>
      </c>
      <c r="H300" t="s">
        <v>1439</v>
      </c>
      <c r="I300" t="s">
        <v>1998</v>
      </c>
      <c r="J300">
        <v>2432</v>
      </c>
      <c r="K300" t="s">
        <v>686</v>
      </c>
    </row>
    <row r="301" spans="1:11" x14ac:dyDescent="0.35">
      <c r="A301">
        <v>1118022146</v>
      </c>
      <c r="B301" t="s">
        <v>123</v>
      </c>
      <c r="C301" s="150" t="s">
        <v>2961</v>
      </c>
      <c r="D301" t="s">
        <v>1952</v>
      </c>
      <c r="E301" t="s">
        <v>1695</v>
      </c>
      <c r="F301" t="s">
        <v>1433</v>
      </c>
      <c r="G301" t="s">
        <v>1489</v>
      </c>
      <c r="H301" t="s">
        <v>1439</v>
      </c>
      <c r="I301" t="s">
        <v>1998</v>
      </c>
      <c r="J301">
        <v>2432</v>
      </c>
      <c r="K301" t="s">
        <v>686</v>
      </c>
    </row>
    <row r="302" spans="1:11" x14ac:dyDescent="0.35">
      <c r="A302">
        <v>1118022146</v>
      </c>
      <c r="B302" t="s">
        <v>123</v>
      </c>
      <c r="C302" s="150" t="s">
        <v>2961</v>
      </c>
      <c r="D302" t="s">
        <v>1953</v>
      </c>
      <c r="E302" t="s">
        <v>1954</v>
      </c>
      <c r="F302" t="s">
        <v>1433</v>
      </c>
      <c r="G302" t="s">
        <v>1577</v>
      </c>
      <c r="H302" t="s">
        <v>1439</v>
      </c>
      <c r="I302" t="s">
        <v>1998</v>
      </c>
      <c r="J302">
        <v>2432</v>
      </c>
      <c r="K302" t="s">
        <v>686</v>
      </c>
    </row>
    <row r="303" spans="1:11" x14ac:dyDescent="0.35">
      <c r="A303">
        <v>1118022146</v>
      </c>
      <c r="B303" t="s">
        <v>123</v>
      </c>
      <c r="C303" s="152" t="s">
        <v>2962</v>
      </c>
      <c r="D303" t="s">
        <v>2736</v>
      </c>
      <c r="E303" t="s">
        <v>2737</v>
      </c>
      <c r="F303" t="s">
        <v>2278</v>
      </c>
      <c r="H303" t="s">
        <v>1439</v>
      </c>
      <c r="I303" t="s">
        <v>1998</v>
      </c>
      <c r="J303">
        <v>2432</v>
      </c>
      <c r="K303" t="s">
        <v>686</v>
      </c>
    </row>
    <row r="304" spans="1:11" x14ac:dyDescent="0.35">
      <c r="A304">
        <v>1118022146</v>
      </c>
      <c r="B304" t="s">
        <v>123</v>
      </c>
      <c r="C304" s="152" t="s">
        <v>2962</v>
      </c>
      <c r="D304" t="s">
        <v>2736</v>
      </c>
      <c r="E304" t="s">
        <v>2738</v>
      </c>
      <c r="F304" t="s">
        <v>2278</v>
      </c>
      <c r="H304" t="s">
        <v>1439</v>
      </c>
      <c r="I304" t="s">
        <v>1998</v>
      </c>
      <c r="J304">
        <v>2432</v>
      </c>
      <c r="K304" t="s">
        <v>686</v>
      </c>
    </row>
    <row r="305" spans="1:11" x14ac:dyDescent="0.35">
      <c r="A305">
        <v>1118022146</v>
      </c>
      <c r="B305" t="s">
        <v>123</v>
      </c>
      <c r="C305" s="152" t="s">
        <v>2962</v>
      </c>
      <c r="D305" t="s">
        <v>2739</v>
      </c>
      <c r="E305" t="s">
        <v>2740</v>
      </c>
      <c r="F305" t="s">
        <v>2278</v>
      </c>
      <c r="H305" t="s">
        <v>1439</v>
      </c>
      <c r="I305" t="s">
        <v>1998</v>
      </c>
      <c r="J305">
        <v>2432</v>
      </c>
      <c r="K305" t="s">
        <v>686</v>
      </c>
    </row>
    <row r="306" spans="1:11" x14ac:dyDescent="0.35">
      <c r="A306">
        <v>1118022146</v>
      </c>
      <c r="B306" t="s">
        <v>123</v>
      </c>
      <c r="C306" s="152" t="s">
        <v>2962</v>
      </c>
      <c r="D306" t="s">
        <v>2739</v>
      </c>
      <c r="E306" t="s">
        <v>2741</v>
      </c>
      <c r="F306" t="s">
        <v>2278</v>
      </c>
      <c r="H306" t="s">
        <v>1439</v>
      </c>
      <c r="I306" t="s">
        <v>1998</v>
      </c>
      <c r="J306">
        <v>2432</v>
      </c>
      <c r="K306" t="s">
        <v>686</v>
      </c>
    </row>
    <row r="307" spans="1:11" x14ac:dyDescent="0.35">
      <c r="A307">
        <v>1118022146</v>
      </c>
      <c r="B307" t="s">
        <v>123</v>
      </c>
      <c r="C307" s="152" t="s">
        <v>2962</v>
      </c>
      <c r="D307" t="s">
        <v>2739</v>
      </c>
      <c r="E307" t="s">
        <v>2742</v>
      </c>
      <c r="F307" t="s">
        <v>2278</v>
      </c>
      <c r="H307" t="s">
        <v>1439</v>
      </c>
      <c r="I307" t="s">
        <v>1998</v>
      </c>
      <c r="J307">
        <v>2432</v>
      </c>
      <c r="K307" t="s">
        <v>686</v>
      </c>
    </row>
    <row r="308" spans="1:11" x14ac:dyDescent="0.35">
      <c r="A308">
        <v>1118022146</v>
      </c>
      <c r="B308" t="s">
        <v>123</v>
      </c>
      <c r="C308" s="152" t="s">
        <v>2962</v>
      </c>
      <c r="D308" t="s">
        <v>2743</v>
      </c>
      <c r="E308" t="s">
        <v>2744</v>
      </c>
      <c r="F308" t="s">
        <v>2278</v>
      </c>
      <c r="H308" t="s">
        <v>1439</v>
      </c>
      <c r="I308" t="s">
        <v>1998</v>
      </c>
      <c r="J308">
        <v>2432</v>
      </c>
      <c r="K308" t="s">
        <v>686</v>
      </c>
    </row>
    <row r="309" spans="1:11" x14ac:dyDescent="0.35">
      <c r="A309">
        <v>1118022146</v>
      </c>
      <c r="B309" t="s">
        <v>123</v>
      </c>
      <c r="C309" s="152" t="s">
        <v>2962</v>
      </c>
      <c r="D309" t="s">
        <v>2743</v>
      </c>
      <c r="E309" t="s">
        <v>2745</v>
      </c>
      <c r="F309" t="s">
        <v>2278</v>
      </c>
      <c r="H309" t="s">
        <v>1439</v>
      </c>
      <c r="I309" t="s">
        <v>1998</v>
      </c>
      <c r="J309">
        <v>2432</v>
      </c>
      <c r="K309" t="s">
        <v>686</v>
      </c>
    </row>
    <row r="310" spans="1:11" x14ac:dyDescent="0.35">
      <c r="A310">
        <v>1118022146</v>
      </c>
      <c r="B310" t="s">
        <v>123</v>
      </c>
      <c r="C310" s="152" t="s">
        <v>2962</v>
      </c>
      <c r="D310" t="s">
        <v>2746</v>
      </c>
      <c r="E310" t="s">
        <v>2747</v>
      </c>
      <c r="F310" t="s">
        <v>2278</v>
      </c>
      <c r="H310" t="s">
        <v>1439</v>
      </c>
      <c r="I310" t="s">
        <v>1998</v>
      </c>
      <c r="J310">
        <v>2432</v>
      </c>
      <c r="K310" t="s">
        <v>686</v>
      </c>
    </row>
    <row r="311" spans="1:11" x14ac:dyDescent="0.35">
      <c r="A311">
        <v>1118022146</v>
      </c>
      <c r="B311" t="s">
        <v>123</v>
      </c>
      <c r="C311" s="152" t="s">
        <v>2962</v>
      </c>
      <c r="D311" t="s">
        <v>2746</v>
      </c>
      <c r="E311" t="s">
        <v>2748</v>
      </c>
      <c r="F311" t="s">
        <v>2278</v>
      </c>
      <c r="H311" t="s">
        <v>1439</v>
      </c>
      <c r="I311" t="s">
        <v>1998</v>
      </c>
      <c r="J311">
        <v>2432</v>
      </c>
      <c r="K311" t="s">
        <v>686</v>
      </c>
    </row>
    <row r="312" spans="1:11" x14ac:dyDescent="0.35">
      <c r="A312">
        <v>1118022146</v>
      </c>
      <c r="B312" t="s">
        <v>123</v>
      </c>
      <c r="C312" s="152" t="s">
        <v>2962</v>
      </c>
      <c r="D312" t="s">
        <v>2749</v>
      </c>
      <c r="E312" t="s">
        <v>2750</v>
      </c>
      <c r="F312" t="s">
        <v>2278</v>
      </c>
      <c r="H312" t="s">
        <v>1439</v>
      </c>
      <c r="I312" t="s">
        <v>1998</v>
      </c>
      <c r="J312">
        <v>2432</v>
      </c>
      <c r="K312" t="s">
        <v>686</v>
      </c>
    </row>
    <row r="313" spans="1:11" x14ac:dyDescent="0.35">
      <c r="A313">
        <v>1118022146</v>
      </c>
      <c r="B313" t="s">
        <v>123</v>
      </c>
      <c r="C313" s="152" t="s">
        <v>2962</v>
      </c>
      <c r="D313" t="s">
        <v>2751</v>
      </c>
      <c r="E313" t="s">
        <v>1623</v>
      </c>
      <c r="F313" t="s">
        <v>2278</v>
      </c>
      <c r="H313" t="s">
        <v>1439</v>
      </c>
      <c r="I313" t="s">
        <v>1998</v>
      </c>
      <c r="J313">
        <v>2432</v>
      </c>
      <c r="K313" t="s">
        <v>686</v>
      </c>
    </row>
    <row r="314" spans="1:11" x14ac:dyDescent="0.35">
      <c r="A314">
        <v>1118022146</v>
      </c>
      <c r="B314" t="s">
        <v>123</v>
      </c>
      <c r="C314" s="152" t="s">
        <v>2962</v>
      </c>
      <c r="D314" t="s">
        <v>2751</v>
      </c>
      <c r="E314" t="s">
        <v>2752</v>
      </c>
      <c r="F314" t="s">
        <v>2278</v>
      </c>
      <c r="H314" t="s">
        <v>1439</v>
      </c>
      <c r="I314" t="s">
        <v>1998</v>
      </c>
      <c r="J314">
        <v>2432</v>
      </c>
      <c r="K314" t="s">
        <v>686</v>
      </c>
    </row>
    <row r="315" spans="1:11" x14ac:dyDescent="0.35">
      <c r="A315">
        <v>1118022146</v>
      </c>
      <c r="B315" t="s">
        <v>123</v>
      </c>
      <c r="C315" s="152" t="s">
        <v>2962</v>
      </c>
      <c r="D315" t="s">
        <v>2753</v>
      </c>
      <c r="E315" t="s">
        <v>2754</v>
      </c>
      <c r="F315" t="s">
        <v>2278</v>
      </c>
      <c r="H315" t="s">
        <v>1439</v>
      </c>
      <c r="I315" t="s">
        <v>1998</v>
      </c>
      <c r="J315">
        <v>2432</v>
      </c>
      <c r="K315" t="s">
        <v>686</v>
      </c>
    </row>
    <row r="316" spans="1:11" x14ac:dyDescent="0.35">
      <c r="A316">
        <v>1118022146</v>
      </c>
      <c r="B316" t="s">
        <v>123</v>
      </c>
      <c r="C316" s="152" t="s">
        <v>2962</v>
      </c>
      <c r="D316" t="s">
        <v>2753</v>
      </c>
      <c r="E316" t="s">
        <v>2755</v>
      </c>
      <c r="F316" t="s">
        <v>1433</v>
      </c>
      <c r="H316" t="s">
        <v>1498</v>
      </c>
      <c r="I316" t="s">
        <v>1998</v>
      </c>
      <c r="J316">
        <v>2432</v>
      </c>
      <c r="K316" t="s">
        <v>686</v>
      </c>
    </row>
    <row r="317" spans="1:11" x14ac:dyDescent="0.35">
      <c r="A317">
        <v>1118023904</v>
      </c>
      <c r="B317" t="s">
        <v>576</v>
      </c>
      <c r="C317" s="152" t="s">
        <v>2962</v>
      </c>
      <c r="D317" t="s">
        <v>2779</v>
      </c>
      <c r="E317" t="s">
        <v>2780</v>
      </c>
      <c r="F317" t="s">
        <v>2278</v>
      </c>
      <c r="H317" t="s">
        <v>1439</v>
      </c>
      <c r="I317" t="s">
        <v>819</v>
      </c>
      <c r="J317">
        <v>9334</v>
      </c>
      <c r="K317" t="s">
        <v>822</v>
      </c>
    </row>
    <row r="318" spans="1:11" x14ac:dyDescent="0.35">
      <c r="A318">
        <v>1118023904</v>
      </c>
      <c r="B318" t="s">
        <v>576</v>
      </c>
      <c r="C318" s="152" t="s">
        <v>2962</v>
      </c>
      <c r="D318" t="s">
        <v>2779</v>
      </c>
      <c r="E318" t="s">
        <v>2781</v>
      </c>
      <c r="F318" t="s">
        <v>1433</v>
      </c>
      <c r="H318" t="s">
        <v>1498</v>
      </c>
      <c r="I318" t="s">
        <v>819</v>
      </c>
      <c r="J318">
        <v>9334</v>
      </c>
      <c r="K318" t="s">
        <v>822</v>
      </c>
    </row>
    <row r="319" spans="1:11" x14ac:dyDescent="0.35">
      <c r="A319">
        <v>1118023904</v>
      </c>
      <c r="B319" t="s">
        <v>576</v>
      </c>
      <c r="C319" s="152" t="s">
        <v>2962</v>
      </c>
      <c r="D319" t="s">
        <v>2782</v>
      </c>
      <c r="E319" t="s">
        <v>2783</v>
      </c>
      <c r="F319" t="s">
        <v>1433</v>
      </c>
      <c r="H319" t="s">
        <v>1498</v>
      </c>
      <c r="I319" t="s">
        <v>819</v>
      </c>
      <c r="J319">
        <v>9334</v>
      </c>
      <c r="K319" t="s">
        <v>822</v>
      </c>
    </row>
    <row r="320" spans="1:11" x14ac:dyDescent="0.35">
      <c r="A320">
        <v>1118023904</v>
      </c>
      <c r="B320" t="s">
        <v>576</v>
      </c>
      <c r="C320" s="152" t="s">
        <v>2962</v>
      </c>
      <c r="D320" t="s">
        <v>2782</v>
      </c>
      <c r="E320" t="s">
        <v>2784</v>
      </c>
      <c r="F320" t="s">
        <v>1433</v>
      </c>
      <c r="H320" t="s">
        <v>1498</v>
      </c>
      <c r="I320" t="s">
        <v>819</v>
      </c>
      <c r="J320">
        <v>9334</v>
      </c>
      <c r="K320" t="s">
        <v>822</v>
      </c>
    </row>
    <row r="321" spans="1:11" x14ac:dyDescent="0.35">
      <c r="A321">
        <v>1118023904</v>
      </c>
      <c r="B321" t="s">
        <v>576</v>
      </c>
      <c r="C321" s="152" t="s">
        <v>2962</v>
      </c>
      <c r="D321" t="s">
        <v>2785</v>
      </c>
      <c r="E321" t="s">
        <v>2786</v>
      </c>
      <c r="F321" t="s">
        <v>1433</v>
      </c>
      <c r="H321" t="s">
        <v>1498</v>
      </c>
      <c r="I321" t="s">
        <v>819</v>
      </c>
      <c r="J321">
        <v>9334</v>
      </c>
      <c r="K321" t="s">
        <v>822</v>
      </c>
    </row>
    <row r="322" spans="1:11" x14ac:dyDescent="0.35">
      <c r="A322">
        <v>1118023904</v>
      </c>
      <c r="B322" t="s">
        <v>576</v>
      </c>
      <c r="C322" s="152" t="s">
        <v>2962</v>
      </c>
      <c r="D322" t="s">
        <v>2785</v>
      </c>
      <c r="E322" t="s">
        <v>2499</v>
      </c>
      <c r="F322" t="s">
        <v>1433</v>
      </c>
      <c r="H322" t="s">
        <v>1498</v>
      </c>
      <c r="I322" t="s">
        <v>819</v>
      </c>
      <c r="J322">
        <v>9334</v>
      </c>
      <c r="K322" t="s">
        <v>822</v>
      </c>
    </row>
    <row r="323" spans="1:11" x14ac:dyDescent="0.35">
      <c r="A323">
        <v>1118023904</v>
      </c>
      <c r="B323" t="s">
        <v>576</v>
      </c>
      <c r="C323" s="152" t="s">
        <v>2962</v>
      </c>
      <c r="D323" t="s">
        <v>2787</v>
      </c>
      <c r="E323" t="s">
        <v>2498</v>
      </c>
      <c r="F323" t="s">
        <v>1433</v>
      </c>
      <c r="H323" t="s">
        <v>1498</v>
      </c>
      <c r="I323" t="s">
        <v>819</v>
      </c>
      <c r="J323">
        <v>9334</v>
      </c>
      <c r="K323" t="s">
        <v>822</v>
      </c>
    </row>
    <row r="324" spans="1:11" x14ac:dyDescent="0.35">
      <c r="A324">
        <v>1118023904</v>
      </c>
      <c r="B324" t="s">
        <v>576</v>
      </c>
      <c r="C324" s="152" t="s">
        <v>2962</v>
      </c>
      <c r="D324" t="s">
        <v>2787</v>
      </c>
      <c r="E324" t="s">
        <v>2788</v>
      </c>
      <c r="F324" t="s">
        <v>1433</v>
      </c>
      <c r="H324" t="s">
        <v>1498</v>
      </c>
      <c r="I324" t="s">
        <v>819</v>
      </c>
      <c r="J324">
        <v>9334</v>
      </c>
      <c r="K324" t="s">
        <v>822</v>
      </c>
    </row>
    <row r="325" spans="1:11" x14ac:dyDescent="0.35">
      <c r="A325">
        <v>1118025212</v>
      </c>
      <c r="B325" t="s">
        <v>129</v>
      </c>
      <c r="C325" s="150" t="s">
        <v>2961</v>
      </c>
      <c r="D325" t="s">
        <v>1838</v>
      </c>
      <c r="E325" t="s">
        <v>1839</v>
      </c>
      <c r="F325" t="s">
        <v>1922</v>
      </c>
      <c r="G325" t="s">
        <v>1921</v>
      </c>
      <c r="H325" t="s">
        <v>1498</v>
      </c>
      <c r="I325" t="s">
        <v>1999</v>
      </c>
      <c r="J325">
        <v>2433</v>
      </c>
      <c r="K325" t="s">
        <v>2000</v>
      </c>
    </row>
    <row r="326" spans="1:11" x14ac:dyDescent="0.35">
      <c r="A326">
        <v>1118025212</v>
      </c>
      <c r="B326" t="s">
        <v>129</v>
      </c>
      <c r="C326" s="150" t="s">
        <v>2961</v>
      </c>
      <c r="D326" t="s">
        <v>1518</v>
      </c>
      <c r="E326" t="s">
        <v>1518</v>
      </c>
      <c r="F326" t="s">
        <v>1493</v>
      </c>
      <c r="G326" t="s">
        <v>1942</v>
      </c>
      <c r="H326" t="s">
        <v>1498</v>
      </c>
      <c r="I326" t="s">
        <v>1999</v>
      </c>
      <c r="J326">
        <v>2433</v>
      </c>
      <c r="K326" t="s">
        <v>2000</v>
      </c>
    </row>
    <row r="327" spans="1:11" x14ac:dyDescent="0.35">
      <c r="A327">
        <v>1118025212</v>
      </c>
      <c r="B327" t="s">
        <v>129</v>
      </c>
      <c r="C327" s="152" t="s">
        <v>2962</v>
      </c>
      <c r="D327" t="s">
        <v>2897</v>
      </c>
      <c r="E327" t="s">
        <v>2898</v>
      </c>
      <c r="F327" t="s">
        <v>1433</v>
      </c>
      <c r="H327" t="s">
        <v>1498</v>
      </c>
      <c r="I327" t="s">
        <v>1999</v>
      </c>
      <c r="J327">
        <v>2433</v>
      </c>
      <c r="K327" t="s">
        <v>2000</v>
      </c>
    </row>
    <row r="328" spans="1:11" x14ac:dyDescent="0.35">
      <c r="A328">
        <v>1118025212</v>
      </c>
      <c r="B328" t="s">
        <v>129</v>
      </c>
      <c r="C328" s="152" t="s">
        <v>2962</v>
      </c>
      <c r="D328" t="s">
        <v>2897</v>
      </c>
      <c r="E328" t="s">
        <v>2899</v>
      </c>
      <c r="F328" t="s">
        <v>1433</v>
      </c>
      <c r="H328" t="s">
        <v>1498</v>
      </c>
      <c r="I328" t="s">
        <v>1999</v>
      </c>
      <c r="J328">
        <v>2433</v>
      </c>
      <c r="K328" t="s">
        <v>2000</v>
      </c>
    </row>
    <row r="329" spans="1:11" x14ac:dyDescent="0.35">
      <c r="A329">
        <v>1118025212</v>
      </c>
      <c r="B329" t="s">
        <v>129</v>
      </c>
      <c r="C329" s="152" t="s">
        <v>2962</v>
      </c>
      <c r="D329" t="s">
        <v>2900</v>
      </c>
      <c r="E329" t="s">
        <v>2901</v>
      </c>
      <c r="F329" t="s">
        <v>1433</v>
      </c>
      <c r="H329" t="s">
        <v>1498</v>
      </c>
      <c r="I329" t="s">
        <v>1999</v>
      </c>
      <c r="J329">
        <v>2433</v>
      </c>
      <c r="K329" t="s">
        <v>2000</v>
      </c>
    </row>
    <row r="330" spans="1:11" x14ac:dyDescent="0.35">
      <c r="A330">
        <v>1118025212</v>
      </c>
      <c r="B330" t="s">
        <v>129</v>
      </c>
      <c r="C330" s="152" t="s">
        <v>2962</v>
      </c>
      <c r="D330" t="s">
        <v>2900</v>
      </c>
      <c r="E330" t="s">
        <v>2573</v>
      </c>
      <c r="F330" t="s">
        <v>1433</v>
      </c>
      <c r="H330" t="s">
        <v>1498</v>
      </c>
      <c r="I330" t="s">
        <v>1999</v>
      </c>
      <c r="J330">
        <v>2433</v>
      </c>
      <c r="K330" t="s">
        <v>2000</v>
      </c>
    </row>
    <row r="331" spans="1:11" x14ac:dyDescent="0.35">
      <c r="A331">
        <v>1118025956</v>
      </c>
      <c r="B331" t="s">
        <v>178</v>
      </c>
      <c r="C331" s="152" t="s">
        <v>2962</v>
      </c>
      <c r="D331" t="s">
        <v>2902</v>
      </c>
      <c r="E331" t="s">
        <v>2903</v>
      </c>
      <c r="F331" t="s">
        <v>1433</v>
      </c>
      <c r="H331" t="s">
        <v>1498</v>
      </c>
      <c r="I331" t="s">
        <v>799</v>
      </c>
      <c r="J331">
        <v>6113</v>
      </c>
      <c r="K331" t="s">
        <v>2010</v>
      </c>
    </row>
    <row r="332" spans="1:11" x14ac:dyDescent="0.35">
      <c r="A332">
        <v>1118025956</v>
      </c>
      <c r="B332" t="s">
        <v>178</v>
      </c>
      <c r="C332" s="152" t="s">
        <v>2962</v>
      </c>
      <c r="D332" t="s">
        <v>2902</v>
      </c>
      <c r="E332" t="s">
        <v>2904</v>
      </c>
      <c r="F332" t="s">
        <v>1433</v>
      </c>
      <c r="H332" t="s">
        <v>1498</v>
      </c>
      <c r="I332" t="s">
        <v>799</v>
      </c>
      <c r="J332">
        <v>6113</v>
      </c>
      <c r="K332" t="s">
        <v>2010</v>
      </c>
    </row>
    <row r="333" spans="1:11" x14ac:dyDescent="0.35">
      <c r="A333">
        <v>1118025956</v>
      </c>
      <c r="B333" t="s">
        <v>178</v>
      </c>
      <c r="C333" s="152" t="s">
        <v>2962</v>
      </c>
      <c r="D333" t="s">
        <v>2902</v>
      </c>
      <c r="E333" t="s">
        <v>2905</v>
      </c>
      <c r="F333" t="s">
        <v>1433</v>
      </c>
      <c r="H333" t="s">
        <v>1498</v>
      </c>
      <c r="I333" t="s">
        <v>799</v>
      </c>
      <c r="J333">
        <v>6113</v>
      </c>
      <c r="K333" t="s">
        <v>2010</v>
      </c>
    </row>
    <row r="334" spans="1:11" x14ac:dyDescent="0.35">
      <c r="A334">
        <v>1118025956</v>
      </c>
      <c r="B334" t="s">
        <v>178</v>
      </c>
      <c r="C334" s="152" t="s">
        <v>2962</v>
      </c>
      <c r="D334" t="s">
        <v>2906</v>
      </c>
      <c r="E334" t="s">
        <v>2907</v>
      </c>
      <c r="F334" t="s">
        <v>1433</v>
      </c>
      <c r="H334" t="s">
        <v>1498</v>
      </c>
      <c r="I334" t="s">
        <v>799</v>
      </c>
      <c r="J334">
        <v>6113</v>
      </c>
      <c r="K334" t="s">
        <v>2010</v>
      </c>
    </row>
    <row r="335" spans="1:11" x14ac:dyDescent="0.35">
      <c r="A335">
        <v>1118025956</v>
      </c>
      <c r="B335" t="s">
        <v>178</v>
      </c>
      <c r="C335" s="152" t="s">
        <v>2962</v>
      </c>
      <c r="D335" t="s">
        <v>2906</v>
      </c>
      <c r="E335" t="s">
        <v>2908</v>
      </c>
      <c r="F335" t="s">
        <v>1433</v>
      </c>
      <c r="H335" t="s">
        <v>1498</v>
      </c>
      <c r="I335" t="s">
        <v>799</v>
      </c>
      <c r="J335">
        <v>6113</v>
      </c>
      <c r="K335" t="s">
        <v>2010</v>
      </c>
    </row>
    <row r="336" spans="1:11" x14ac:dyDescent="0.35">
      <c r="A336">
        <v>1118026700</v>
      </c>
      <c r="B336" t="s">
        <v>10</v>
      </c>
      <c r="C336" s="150" t="s">
        <v>2961</v>
      </c>
      <c r="D336" t="s">
        <v>1432</v>
      </c>
      <c r="E336" t="s">
        <v>1443</v>
      </c>
      <c r="F336" t="s">
        <v>1433</v>
      </c>
      <c r="G336" t="s">
        <v>1434</v>
      </c>
      <c r="H336" t="s">
        <v>1439</v>
      </c>
      <c r="I336" t="s">
        <v>1988</v>
      </c>
      <c r="J336">
        <v>5223</v>
      </c>
      <c r="K336" t="s">
        <v>679</v>
      </c>
    </row>
    <row r="337" spans="1:11" x14ac:dyDescent="0.35">
      <c r="A337">
        <v>1118026700</v>
      </c>
      <c r="B337" t="s">
        <v>10</v>
      </c>
      <c r="C337" s="150" t="s">
        <v>2961</v>
      </c>
      <c r="D337" t="s">
        <v>1636</v>
      </c>
      <c r="E337" t="s">
        <v>1916</v>
      </c>
      <c r="F337" t="s">
        <v>1433</v>
      </c>
      <c r="G337" t="s">
        <v>1489</v>
      </c>
      <c r="H337" t="s">
        <v>1439</v>
      </c>
      <c r="I337" t="s">
        <v>1988</v>
      </c>
      <c r="J337">
        <v>5223</v>
      </c>
      <c r="K337" t="s">
        <v>679</v>
      </c>
    </row>
    <row r="338" spans="1:11" x14ac:dyDescent="0.35">
      <c r="A338">
        <v>1118026700</v>
      </c>
      <c r="B338" t="s">
        <v>10</v>
      </c>
      <c r="C338" s="150" t="s">
        <v>2961</v>
      </c>
      <c r="D338" t="s">
        <v>1621</v>
      </c>
      <c r="E338" t="s">
        <v>1617</v>
      </c>
      <c r="F338" t="s">
        <v>1433</v>
      </c>
      <c r="G338" t="s">
        <v>1616</v>
      </c>
      <c r="H338" t="s">
        <v>1439</v>
      </c>
      <c r="I338" t="s">
        <v>1988</v>
      </c>
      <c r="J338">
        <v>5223</v>
      </c>
      <c r="K338" t="s">
        <v>679</v>
      </c>
    </row>
    <row r="339" spans="1:11" x14ac:dyDescent="0.35">
      <c r="A339">
        <v>1118026700</v>
      </c>
      <c r="B339" t="s">
        <v>10</v>
      </c>
      <c r="C339" s="150" t="s">
        <v>2961</v>
      </c>
      <c r="D339" t="s">
        <v>1492</v>
      </c>
      <c r="E339" t="s">
        <v>1495</v>
      </c>
      <c r="F339" t="s">
        <v>1493</v>
      </c>
      <c r="G339" t="s">
        <v>1494</v>
      </c>
      <c r="H339" t="s">
        <v>1498</v>
      </c>
      <c r="I339" t="s">
        <v>1988</v>
      </c>
      <c r="J339">
        <v>5223</v>
      </c>
      <c r="K339" t="s">
        <v>679</v>
      </c>
    </row>
    <row r="340" spans="1:11" x14ac:dyDescent="0.35">
      <c r="A340">
        <v>1118026700</v>
      </c>
      <c r="B340" t="s">
        <v>10</v>
      </c>
      <c r="C340" s="150" t="s">
        <v>2961</v>
      </c>
      <c r="D340" t="s">
        <v>1739</v>
      </c>
      <c r="E340" t="s">
        <v>1501</v>
      </c>
      <c r="F340" t="s">
        <v>1493</v>
      </c>
      <c r="G340" t="s">
        <v>1500</v>
      </c>
      <c r="H340" t="s">
        <v>1498</v>
      </c>
      <c r="I340" t="s">
        <v>1988</v>
      </c>
      <c r="J340">
        <v>5223</v>
      </c>
      <c r="K340" t="s">
        <v>679</v>
      </c>
    </row>
    <row r="341" spans="1:11" x14ac:dyDescent="0.35">
      <c r="A341">
        <v>1118026729</v>
      </c>
      <c r="B341" t="s">
        <v>18</v>
      </c>
      <c r="C341" s="150" t="s">
        <v>2961</v>
      </c>
      <c r="D341" t="s">
        <v>1550</v>
      </c>
      <c r="E341" t="s">
        <v>1552</v>
      </c>
      <c r="F341" t="s">
        <v>1917</v>
      </c>
      <c r="G341" t="s">
        <v>1551</v>
      </c>
      <c r="H341" t="s">
        <v>1498</v>
      </c>
      <c r="I341" t="s">
        <v>1989</v>
      </c>
      <c r="J341">
        <v>2432</v>
      </c>
      <c r="K341" t="s">
        <v>686</v>
      </c>
    </row>
    <row r="342" spans="1:11" x14ac:dyDescent="0.35">
      <c r="A342">
        <v>1118026729</v>
      </c>
      <c r="B342" t="s">
        <v>18</v>
      </c>
      <c r="C342" s="150" t="s">
        <v>2961</v>
      </c>
      <c r="D342" t="s">
        <v>1554</v>
      </c>
      <c r="E342" t="s">
        <v>1556</v>
      </c>
      <c r="F342" t="s">
        <v>1917</v>
      </c>
      <c r="G342" t="s">
        <v>1555</v>
      </c>
      <c r="H342" t="s">
        <v>1498</v>
      </c>
      <c r="I342" t="s">
        <v>1989</v>
      </c>
      <c r="J342">
        <v>2432</v>
      </c>
      <c r="K342" t="s">
        <v>686</v>
      </c>
    </row>
    <row r="343" spans="1:11" x14ac:dyDescent="0.35">
      <c r="A343">
        <v>1118026729</v>
      </c>
      <c r="B343" t="s">
        <v>18</v>
      </c>
      <c r="C343" s="150" t="s">
        <v>2961</v>
      </c>
      <c r="D343" t="s">
        <v>1655</v>
      </c>
      <c r="E343" t="s">
        <v>1656</v>
      </c>
      <c r="F343" t="s">
        <v>1917</v>
      </c>
      <c r="G343" t="s">
        <v>1555</v>
      </c>
      <c r="H343" t="s">
        <v>1498</v>
      </c>
      <c r="I343" t="s">
        <v>1989</v>
      </c>
      <c r="J343">
        <v>2432</v>
      </c>
      <c r="K343" t="s">
        <v>686</v>
      </c>
    </row>
    <row r="344" spans="1:11" x14ac:dyDescent="0.35">
      <c r="A344">
        <v>1118026729</v>
      </c>
      <c r="B344" t="s">
        <v>18</v>
      </c>
      <c r="C344" s="150" t="s">
        <v>2961</v>
      </c>
      <c r="D344" t="s">
        <v>1761</v>
      </c>
      <c r="E344" t="s">
        <v>1762</v>
      </c>
      <c r="F344" t="s">
        <v>1493</v>
      </c>
      <c r="G344" t="s">
        <v>1509</v>
      </c>
      <c r="H344" t="s">
        <v>1498</v>
      </c>
      <c r="I344" t="s">
        <v>1989</v>
      </c>
      <c r="J344">
        <v>2432</v>
      </c>
      <c r="K344" t="s">
        <v>686</v>
      </c>
    </row>
    <row r="345" spans="1:11" x14ac:dyDescent="0.35">
      <c r="A345">
        <v>1118026729</v>
      </c>
      <c r="B345" t="s">
        <v>18</v>
      </c>
      <c r="C345" s="150" t="s">
        <v>2961</v>
      </c>
      <c r="D345" t="s">
        <v>1740</v>
      </c>
      <c r="E345" t="s">
        <v>1501</v>
      </c>
      <c r="F345" t="s">
        <v>1493</v>
      </c>
      <c r="G345" t="s">
        <v>1500</v>
      </c>
      <c r="H345" t="s">
        <v>1498</v>
      </c>
      <c r="I345" t="s">
        <v>1989</v>
      </c>
      <c r="J345">
        <v>2432</v>
      </c>
      <c r="K345" t="s">
        <v>686</v>
      </c>
    </row>
    <row r="346" spans="1:11" x14ac:dyDescent="0.35">
      <c r="A346">
        <v>1118026729</v>
      </c>
      <c r="B346" t="s">
        <v>18</v>
      </c>
      <c r="C346" s="150" t="s">
        <v>2961</v>
      </c>
      <c r="D346" t="s">
        <v>1773</v>
      </c>
      <c r="E346" t="s">
        <v>1918</v>
      </c>
      <c r="F346" t="s">
        <v>1493</v>
      </c>
      <c r="G346" t="s">
        <v>1774</v>
      </c>
      <c r="H346" t="s">
        <v>1498</v>
      </c>
      <c r="I346" t="s">
        <v>1989</v>
      </c>
      <c r="J346">
        <v>2432</v>
      </c>
      <c r="K346" t="s">
        <v>686</v>
      </c>
    </row>
    <row r="347" spans="1:11" x14ac:dyDescent="0.35">
      <c r="A347">
        <v>1118026729</v>
      </c>
      <c r="B347" t="s">
        <v>18</v>
      </c>
      <c r="C347" s="152" t="s">
        <v>2962</v>
      </c>
      <c r="D347" t="s">
        <v>2368</v>
      </c>
      <c r="E347" t="s">
        <v>2369</v>
      </c>
      <c r="F347" t="s">
        <v>1917</v>
      </c>
      <c r="H347" t="s">
        <v>1498</v>
      </c>
      <c r="I347" t="s">
        <v>1989</v>
      </c>
      <c r="J347">
        <v>2432</v>
      </c>
      <c r="K347" t="s">
        <v>686</v>
      </c>
    </row>
    <row r="348" spans="1:11" x14ac:dyDescent="0.35">
      <c r="A348">
        <v>1118026729</v>
      </c>
      <c r="B348" t="s">
        <v>18</v>
      </c>
      <c r="C348" s="152" t="s">
        <v>2962</v>
      </c>
      <c r="D348" t="s">
        <v>2368</v>
      </c>
      <c r="E348" t="s">
        <v>2370</v>
      </c>
      <c r="F348" t="s">
        <v>1433</v>
      </c>
      <c r="H348" t="s">
        <v>1498</v>
      </c>
      <c r="I348" t="s">
        <v>1989</v>
      </c>
      <c r="J348">
        <v>2432</v>
      </c>
      <c r="K348" t="s">
        <v>686</v>
      </c>
    </row>
    <row r="349" spans="1:11" x14ac:dyDescent="0.35">
      <c r="A349">
        <v>1118026729</v>
      </c>
      <c r="B349" t="s">
        <v>18</v>
      </c>
      <c r="C349" s="152" t="s">
        <v>2962</v>
      </c>
      <c r="D349" t="s">
        <v>2371</v>
      </c>
      <c r="E349" t="s">
        <v>2372</v>
      </c>
      <c r="F349" t="s">
        <v>2278</v>
      </c>
      <c r="H349" t="s">
        <v>1439</v>
      </c>
      <c r="I349" t="s">
        <v>1989</v>
      </c>
      <c r="J349">
        <v>2432</v>
      </c>
      <c r="K349" t="s">
        <v>686</v>
      </c>
    </row>
    <row r="350" spans="1:11" x14ac:dyDescent="0.35">
      <c r="A350">
        <v>1118026729</v>
      </c>
      <c r="B350" t="s">
        <v>18</v>
      </c>
      <c r="C350" s="152" t="s">
        <v>2962</v>
      </c>
      <c r="D350" t="s">
        <v>2371</v>
      </c>
      <c r="E350" t="s">
        <v>2373</v>
      </c>
      <c r="F350" t="s">
        <v>1433</v>
      </c>
      <c r="H350" t="s">
        <v>1498</v>
      </c>
      <c r="I350" t="s">
        <v>1989</v>
      </c>
      <c r="J350">
        <v>2432</v>
      </c>
      <c r="K350" t="s">
        <v>686</v>
      </c>
    </row>
    <row r="351" spans="1:11" x14ac:dyDescent="0.35">
      <c r="A351">
        <v>1118026729</v>
      </c>
      <c r="B351" t="s">
        <v>18</v>
      </c>
      <c r="C351" s="152" t="s">
        <v>2962</v>
      </c>
      <c r="D351" t="s">
        <v>2374</v>
      </c>
      <c r="E351" t="s">
        <v>2375</v>
      </c>
      <c r="F351" t="s">
        <v>1433</v>
      </c>
      <c r="H351" t="s">
        <v>1498</v>
      </c>
      <c r="I351" t="s">
        <v>1989</v>
      </c>
      <c r="J351">
        <v>2432</v>
      </c>
      <c r="K351" t="s">
        <v>686</v>
      </c>
    </row>
    <row r="352" spans="1:11" x14ac:dyDescent="0.35">
      <c r="A352">
        <v>1118026729</v>
      </c>
      <c r="B352" t="s">
        <v>18</v>
      </c>
      <c r="C352" s="152" t="s">
        <v>2962</v>
      </c>
      <c r="D352" t="s">
        <v>2374</v>
      </c>
      <c r="E352" t="s">
        <v>2376</v>
      </c>
      <c r="F352" t="s">
        <v>1433</v>
      </c>
      <c r="H352" t="s">
        <v>1498</v>
      </c>
      <c r="I352" t="s">
        <v>1989</v>
      </c>
      <c r="J352">
        <v>2432</v>
      </c>
      <c r="K352" t="s">
        <v>686</v>
      </c>
    </row>
    <row r="353" spans="1:11" x14ac:dyDescent="0.35">
      <c r="A353">
        <v>1118026729</v>
      </c>
      <c r="B353" t="s">
        <v>18</v>
      </c>
      <c r="C353" s="152" t="s">
        <v>2962</v>
      </c>
      <c r="D353" t="s">
        <v>2374</v>
      </c>
      <c r="E353" t="s">
        <v>1435</v>
      </c>
      <c r="F353" t="s">
        <v>2278</v>
      </c>
      <c r="H353" t="s">
        <v>1439</v>
      </c>
      <c r="I353" t="s">
        <v>1989</v>
      </c>
      <c r="J353">
        <v>2432</v>
      </c>
      <c r="K353" t="s">
        <v>686</v>
      </c>
    </row>
    <row r="354" spans="1:11" x14ac:dyDescent="0.35">
      <c r="A354">
        <v>1118026729</v>
      </c>
      <c r="B354" t="s">
        <v>18</v>
      </c>
      <c r="C354" s="152" t="s">
        <v>2962</v>
      </c>
      <c r="D354" t="s">
        <v>2377</v>
      </c>
      <c r="E354" t="s">
        <v>2378</v>
      </c>
      <c r="F354" t="s">
        <v>1433</v>
      </c>
      <c r="H354" t="s">
        <v>1498</v>
      </c>
      <c r="I354" t="s">
        <v>1989</v>
      </c>
      <c r="J354">
        <v>2432</v>
      </c>
      <c r="K354" t="s">
        <v>686</v>
      </c>
    </row>
    <row r="355" spans="1:11" x14ac:dyDescent="0.35">
      <c r="A355">
        <v>1118026729</v>
      </c>
      <c r="B355" t="s">
        <v>18</v>
      </c>
      <c r="C355" s="152" t="s">
        <v>2962</v>
      </c>
      <c r="D355" t="s">
        <v>2377</v>
      </c>
      <c r="E355" t="s">
        <v>1482</v>
      </c>
      <c r="F355" t="s">
        <v>2278</v>
      </c>
      <c r="H355" t="s">
        <v>1439</v>
      </c>
      <c r="I355" t="s">
        <v>1989</v>
      </c>
      <c r="J355">
        <v>2432</v>
      </c>
      <c r="K355" t="s">
        <v>686</v>
      </c>
    </row>
    <row r="356" spans="1:11" x14ac:dyDescent="0.35">
      <c r="A356">
        <v>1118026729</v>
      </c>
      <c r="B356" t="s">
        <v>18</v>
      </c>
      <c r="C356" s="152" t="s">
        <v>2962</v>
      </c>
      <c r="D356" t="s">
        <v>2379</v>
      </c>
      <c r="E356" t="s">
        <v>2380</v>
      </c>
      <c r="F356" t="s">
        <v>1917</v>
      </c>
      <c r="H356" t="s">
        <v>1498</v>
      </c>
      <c r="I356" t="s">
        <v>1989</v>
      </c>
      <c r="J356">
        <v>2432</v>
      </c>
      <c r="K356" t="s">
        <v>686</v>
      </c>
    </row>
    <row r="357" spans="1:11" x14ac:dyDescent="0.35">
      <c r="A357">
        <v>1118026729</v>
      </c>
      <c r="B357" t="s">
        <v>18</v>
      </c>
      <c r="C357" s="152" t="s">
        <v>2962</v>
      </c>
      <c r="D357" t="s">
        <v>2379</v>
      </c>
      <c r="E357" t="s">
        <v>2381</v>
      </c>
      <c r="F357" t="s">
        <v>1917</v>
      </c>
      <c r="H357" t="s">
        <v>1498</v>
      </c>
      <c r="I357" t="s">
        <v>1989</v>
      </c>
      <c r="J357">
        <v>2432</v>
      </c>
      <c r="K357" t="s">
        <v>686</v>
      </c>
    </row>
    <row r="358" spans="1:11" x14ac:dyDescent="0.35">
      <c r="A358">
        <v>1118026729</v>
      </c>
      <c r="B358" t="s">
        <v>18</v>
      </c>
      <c r="C358" s="152" t="s">
        <v>2962</v>
      </c>
      <c r="D358" t="s">
        <v>2382</v>
      </c>
      <c r="E358" t="s">
        <v>2383</v>
      </c>
      <c r="F358" t="s">
        <v>1433</v>
      </c>
      <c r="H358" t="s">
        <v>1498</v>
      </c>
      <c r="I358" t="s">
        <v>1989</v>
      </c>
      <c r="J358">
        <v>2432</v>
      </c>
      <c r="K358" t="s">
        <v>686</v>
      </c>
    </row>
    <row r="359" spans="1:11" x14ac:dyDescent="0.35">
      <c r="A359">
        <v>1118026729</v>
      </c>
      <c r="B359" t="s">
        <v>18</v>
      </c>
      <c r="C359" s="152" t="s">
        <v>2962</v>
      </c>
      <c r="D359" t="s">
        <v>2382</v>
      </c>
      <c r="E359" t="s">
        <v>2384</v>
      </c>
      <c r="F359" t="s">
        <v>1917</v>
      </c>
      <c r="H359" t="s">
        <v>1498</v>
      </c>
      <c r="I359" t="s">
        <v>1989</v>
      </c>
      <c r="J359">
        <v>2432</v>
      </c>
      <c r="K359" t="s">
        <v>686</v>
      </c>
    </row>
    <row r="360" spans="1:11" x14ac:dyDescent="0.35">
      <c r="A360">
        <v>1118026729</v>
      </c>
      <c r="B360" t="s">
        <v>18</v>
      </c>
      <c r="C360" s="152" t="s">
        <v>2962</v>
      </c>
      <c r="D360" t="s">
        <v>2385</v>
      </c>
      <c r="E360" t="s">
        <v>2386</v>
      </c>
      <c r="F360" t="s">
        <v>2387</v>
      </c>
      <c r="H360" t="s">
        <v>1498</v>
      </c>
      <c r="I360" t="s">
        <v>1989</v>
      </c>
      <c r="J360">
        <v>2432</v>
      </c>
      <c r="K360" t="s">
        <v>686</v>
      </c>
    </row>
    <row r="361" spans="1:11" x14ac:dyDescent="0.35">
      <c r="A361">
        <v>1118026729</v>
      </c>
      <c r="B361" t="s">
        <v>18</v>
      </c>
      <c r="C361" s="152" t="s">
        <v>2962</v>
      </c>
      <c r="D361" t="s">
        <v>2385</v>
      </c>
      <c r="E361" t="s">
        <v>2388</v>
      </c>
      <c r="F361" t="s">
        <v>1433</v>
      </c>
      <c r="H361" t="s">
        <v>1498</v>
      </c>
      <c r="I361" t="s">
        <v>1989</v>
      </c>
      <c r="J361">
        <v>2432</v>
      </c>
      <c r="K361" t="s">
        <v>686</v>
      </c>
    </row>
    <row r="362" spans="1:11" x14ac:dyDescent="0.35">
      <c r="A362">
        <v>1118027261</v>
      </c>
      <c r="B362" t="s">
        <v>29</v>
      </c>
      <c r="C362" s="150" t="s">
        <v>2961</v>
      </c>
      <c r="D362" t="s">
        <v>1432</v>
      </c>
      <c r="E362" t="s">
        <v>1443</v>
      </c>
      <c r="F362" t="s">
        <v>1433</v>
      </c>
      <c r="G362" t="s">
        <v>1434</v>
      </c>
      <c r="H362" t="s">
        <v>1439</v>
      </c>
      <c r="I362" t="s">
        <v>1990</v>
      </c>
      <c r="J362">
        <v>5151</v>
      </c>
      <c r="K362" t="s">
        <v>1991</v>
      </c>
    </row>
    <row r="363" spans="1:11" x14ac:dyDescent="0.35">
      <c r="A363">
        <v>1118027261</v>
      </c>
      <c r="B363" t="s">
        <v>29</v>
      </c>
      <c r="C363" s="152" t="s">
        <v>2962</v>
      </c>
      <c r="D363" t="s">
        <v>2389</v>
      </c>
      <c r="E363" t="s">
        <v>2390</v>
      </c>
      <c r="F363" t="s">
        <v>1917</v>
      </c>
      <c r="H363" t="s">
        <v>1498</v>
      </c>
      <c r="I363" t="s">
        <v>1990</v>
      </c>
      <c r="J363">
        <v>5151</v>
      </c>
      <c r="K363" t="s">
        <v>1991</v>
      </c>
    </row>
    <row r="364" spans="1:11" x14ac:dyDescent="0.35">
      <c r="A364">
        <v>1118027261</v>
      </c>
      <c r="B364" t="s">
        <v>29</v>
      </c>
      <c r="C364" s="152" t="s">
        <v>2962</v>
      </c>
      <c r="D364" t="s">
        <v>2389</v>
      </c>
      <c r="E364" t="s">
        <v>2391</v>
      </c>
      <c r="F364" t="s">
        <v>1917</v>
      </c>
      <c r="H364" t="s">
        <v>1498</v>
      </c>
      <c r="I364" t="s">
        <v>1990</v>
      </c>
      <c r="J364">
        <v>5151</v>
      </c>
      <c r="K364" t="s">
        <v>1991</v>
      </c>
    </row>
    <row r="365" spans="1:11" x14ac:dyDescent="0.35">
      <c r="A365">
        <v>1118027261</v>
      </c>
      <c r="B365" t="s">
        <v>29</v>
      </c>
      <c r="C365" s="152" t="s">
        <v>2962</v>
      </c>
      <c r="D365" t="s">
        <v>2389</v>
      </c>
      <c r="E365" t="s">
        <v>2392</v>
      </c>
      <c r="F365" t="s">
        <v>1433</v>
      </c>
      <c r="H365" t="s">
        <v>1498</v>
      </c>
      <c r="I365" t="s">
        <v>1990</v>
      </c>
      <c r="J365">
        <v>5151</v>
      </c>
      <c r="K365" t="s">
        <v>1991</v>
      </c>
    </row>
    <row r="366" spans="1:11" x14ac:dyDescent="0.35">
      <c r="A366">
        <v>1118027261</v>
      </c>
      <c r="B366" t="s">
        <v>29</v>
      </c>
      <c r="C366" s="152" t="s">
        <v>2962</v>
      </c>
      <c r="D366" t="s">
        <v>2393</v>
      </c>
      <c r="E366" t="s">
        <v>2394</v>
      </c>
      <c r="F366" t="s">
        <v>1917</v>
      </c>
      <c r="H366" t="s">
        <v>1498</v>
      </c>
      <c r="I366" t="s">
        <v>1990</v>
      </c>
      <c r="J366">
        <v>5151</v>
      </c>
      <c r="K366" t="s">
        <v>1991</v>
      </c>
    </row>
    <row r="367" spans="1:11" x14ac:dyDescent="0.35">
      <c r="A367">
        <v>1118027261</v>
      </c>
      <c r="B367" t="s">
        <v>29</v>
      </c>
      <c r="C367" s="152" t="s">
        <v>2962</v>
      </c>
      <c r="D367" t="s">
        <v>2393</v>
      </c>
      <c r="E367" t="s">
        <v>1537</v>
      </c>
      <c r="F367" t="s">
        <v>1493</v>
      </c>
      <c r="H367" t="s">
        <v>1498</v>
      </c>
      <c r="I367" t="s">
        <v>1990</v>
      </c>
      <c r="J367">
        <v>5151</v>
      </c>
      <c r="K367" t="s">
        <v>1991</v>
      </c>
    </row>
    <row r="368" spans="1:11" x14ac:dyDescent="0.35">
      <c r="A368">
        <v>1118027261</v>
      </c>
      <c r="B368" t="s">
        <v>29</v>
      </c>
      <c r="C368" s="152" t="s">
        <v>2962</v>
      </c>
      <c r="D368" t="s">
        <v>2393</v>
      </c>
      <c r="E368" t="s">
        <v>2395</v>
      </c>
      <c r="F368" t="s">
        <v>2278</v>
      </c>
      <c r="H368" t="s">
        <v>1439</v>
      </c>
      <c r="I368" t="s">
        <v>1990</v>
      </c>
      <c r="J368">
        <v>5151</v>
      </c>
      <c r="K368" t="s">
        <v>1991</v>
      </c>
    </row>
    <row r="369" spans="1:11" x14ac:dyDescent="0.35">
      <c r="A369">
        <v>1118027261</v>
      </c>
      <c r="B369" t="s">
        <v>29</v>
      </c>
      <c r="C369" s="152" t="s">
        <v>2962</v>
      </c>
      <c r="D369" t="s">
        <v>2396</v>
      </c>
      <c r="E369" t="s">
        <v>2397</v>
      </c>
      <c r="F369" t="s">
        <v>1917</v>
      </c>
      <c r="H369" t="s">
        <v>1498</v>
      </c>
      <c r="I369" t="s">
        <v>1990</v>
      </c>
      <c r="J369">
        <v>5151</v>
      </c>
      <c r="K369" t="s">
        <v>1991</v>
      </c>
    </row>
    <row r="370" spans="1:11" x14ac:dyDescent="0.35">
      <c r="A370">
        <v>1118027261</v>
      </c>
      <c r="B370" t="s">
        <v>29</v>
      </c>
      <c r="C370" s="152" t="s">
        <v>2962</v>
      </c>
      <c r="D370" t="s">
        <v>2396</v>
      </c>
      <c r="E370" t="s">
        <v>2381</v>
      </c>
      <c r="F370" t="s">
        <v>1917</v>
      </c>
      <c r="H370" t="s">
        <v>1498</v>
      </c>
      <c r="I370" t="s">
        <v>1990</v>
      </c>
      <c r="J370">
        <v>5151</v>
      </c>
      <c r="K370" t="s">
        <v>1991</v>
      </c>
    </row>
    <row r="371" spans="1:11" x14ac:dyDescent="0.35">
      <c r="A371">
        <v>1118027261</v>
      </c>
      <c r="B371" t="s">
        <v>29</v>
      </c>
      <c r="C371" s="152" t="s">
        <v>2962</v>
      </c>
      <c r="D371" t="s">
        <v>2396</v>
      </c>
      <c r="E371" t="s">
        <v>2398</v>
      </c>
      <c r="F371" t="s">
        <v>1493</v>
      </c>
      <c r="H371" t="s">
        <v>1498</v>
      </c>
      <c r="I371" t="s">
        <v>1990</v>
      </c>
      <c r="J371">
        <v>5151</v>
      </c>
      <c r="K371" t="s">
        <v>1991</v>
      </c>
    </row>
    <row r="372" spans="1:11" x14ac:dyDescent="0.35">
      <c r="A372">
        <v>1118027261</v>
      </c>
      <c r="B372" t="s">
        <v>29</v>
      </c>
      <c r="C372" s="152" t="s">
        <v>2962</v>
      </c>
      <c r="D372" t="s">
        <v>2399</v>
      </c>
      <c r="E372" t="s">
        <v>2400</v>
      </c>
      <c r="F372" t="s">
        <v>1433</v>
      </c>
      <c r="H372" t="s">
        <v>1498</v>
      </c>
      <c r="I372" t="s">
        <v>1990</v>
      </c>
      <c r="J372">
        <v>5151</v>
      </c>
      <c r="K372" t="s">
        <v>1991</v>
      </c>
    </row>
    <row r="373" spans="1:11" x14ac:dyDescent="0.35">
      <c r="A373">
        <v>1118027261</v>
      </c>
      <c r="B373" t="s">
        <v>29</v>
      </c>
      <c r="C373" s="152" t="s">
        <v>2962</v>
      </c>
      <c r="D373" t="s">
        <v>2399</v>
      </c>
      <c r="E373" t="s">
        <v>2401</v>
      </c>
      <c r="F373" t="s">
        <v>1433</v>
      </c>
      <c r="H373" t="s">
        <v>1498</v>
      </c>
      <c r="I373" t="s">
        <v>1990</v>
      </c>
      <c r="J373">
        <v>5151</v>
      </c>
      <c r="K373" t="s">
        <v>1991</v>
      </c>
    </row>
    <row r="374" spans="1:11" x14ac:dyDescent="0.35">
      <c r="A374">
        <v>1118027261</v>
      </c>
      <c r="B374" t="s">
        <v>29</v>
      </c>
      <c r="C374" s="152" t="s">
        <v>2962</v>
      </c>
      <c r="D374" t="s">
        <v>2399</v>
      </c>
      <c r="E374" t="s">
        <v>2402</v>
      </c>
      <c r="F374" t="s">
        <v>1433</v>
      </c>
      <c r="H374" t="s">
        <v>1498</v>
      </c>
      <c r="I374" t="s">
        <v>1990</v>
      </c>
      <c r="J374">
        <v>5151</v>
      </c>
      <c r="K374" t="s">
        <v>1991</v>
      </c>
    </row>
    <row r="375" spans="1:11" x14ac:dyDescent="0.35">
      <c r="A375">
        <v>1118027261</v>
      </c>
      <c r="B375" t="s">
        <v>29</v>
      </c>
      <c r="C375" s="152" t="s">
        <v>2962</v>
      </c>
      <c r="D375" t="s">
        <v>2403</v>
      </c>
      <c r="E375" t="s">
        <v>2404</v>
      </c>
      <c r="F375" t="s">
        <v>1917</v>
      </c>
      <c r="H375" t="s">
        <v>1498</v>
      </c>
      <c r="I375" t="s">
        <v>1990</v>
      </c>
      <c r="J375">
        <v>5151</v>
      </c>
      <c r="K375" t="s">
        <v>1991</v>
      </c>
    </row>
    <row r="376" spans="1:11" x14ac:dyDescent="0.35">
      <c r="A376">
        <v>1118027261</v>
      </c>
      <c r="B376" t="s">
        <v>29</v>
      </c>
      <c r="C376" s="152" t="s">
        <v>2962</v>
      </c>
      <c r="D376" t="s">
        <v>2403</v>
      </c>
      <c r="E376" t="s">
        <v>2405</v>
      </c>
      <c r="F376" t="s">
        <v>1433</v>
      </c>
      <c r="H376" t="s">
        <v>1498</v>
      </c>
      <c r="I376" t="s">
        <v>1990</v>
      </c>
      <c r="J376">
        <v>5151</v>
      </c>
      <c r="K376" t="s">
        <v>1991</v>
      </c>
    </row>
    <row r="377" spans="1:11" x14ac:dyDescent="0.35">
      <c r="A377">
        <v>1118027261</v>
      </c>
      <c r="B377" t="s">
        <v>29</v>
      </c>
      <c r="C377" s="152" t="s">
        <v>2962</v>
      </c>
      <c r="D377" t="s">
        <v>2403</v>
      </c>
      <c r="E377" t="s">
        <v>2406</v>
      </c>
      <c r="F377" t="s">
        <v>1493</v>
      </c>
      <c r="H377" t="s">
        <v>1498</v>
      </c>
      <c r="I377" t="s">
        <v>1990</v>
      </c>
      <c r="J377">
        <v>5151</v>
      </c>
      <c r="K377" t="s">
        <v>1991</v>
      </c>
    </row>
    <row r="378" spans="1:11" x14ac:dyDescent="0.35">
      <c r="A378">
        <v>1118027276</v>
      </c>
      <c r="B378" t="s">
        <v>375</v>
      </c>
      <c r="C378" s="150" t="s">
        <v>2961</v>
      </c>
      <c r="D378" t="s">
        <v>1919</v>
      </c>
      <c r="E378" t="s">
        <v>1623</v>
      </c>
      <c r="F378" t="s">
        <v>1433</v>
      </c>
      <c r="G378" t="s">
        <v>1445</v>
      </c>
      <c r="H378" t="s">
        <v>1439</v>
      </c>
      <c r="I378" t="s">
        <v>1992</v>
      </c>
      <c r="J378">
        <v>7411</v>
      </c>
      <c r="K378" t="s">
        <v>701</v>
      </c>
    </row>
    <row r="379" spans="1:11" x14ac:dyDescent="0.35">
      <c r="A379">
        <v>1118027276</v>
      </c>
      <c r="B379" t="s">
        <v>375</v>
      </c>
      <c r="C379" s="150" t="s">
        <v>2961</v>
      </c>
      <c r="D379" t="s">
        <v>1920</v>
      </c>
      <c r="E379" t="s">
        <v>1623</v>
      </c>
      <c r="F379" t="s">
        <v>1433</v>
      </c>
      <c r="G379" t="s">
        <v>1445</v>
      </c>
      <c r="H379" t="s">
        <v>1439</v>
      </c>
      <c r="I379" t="s">
        <v>1992</v>
      </c>
      <c r="J379">
        <v>7411</v>
      </c>
      <c r="K379" t="s">
        <v>701</v>
      </c>
    </row>
    <row r="380" spans="1:11" x14ac:dyDescent="0.35">
      <c r="A380">
        <v>1118027276</v>
      </c>
      <c r="B380" t="s">
        <v>375</v>
      </c>
      <c r="C380" s="150" t="s">
        <v>2961</v>
      </c>
      <c r="D380" t="s">
        <v>1499</v>
      </c>
      <c r="E380" t="s">
        <v>1501</v>
      </c>
      <c r="F380" t="s">
        <v>1493</v>
      </c>
      <c r="G380" t="s">
        <v>1500</v>
      </c>
      <c r="H380" t="s">
        <v>1498</v>
      </c>
      <c r="I380" t="s">
        <v>1992</v>
      </c>
      <c r="J380">
        <v>7411</v>
      </c>
      <c r="K380" t="s">
        <v>701</v>
      </c>
    </row>
    <row r="381" spans="1:11" x14ac:dyDescent="0.35">
      <c r="A381">
        <v>1118027276</v>
      </c>
      <c r="B381" t="s">
        <v>375</v>
      </c>
      <c r="C381" s="150" t="s">
        <v>2961</v>
      </c>
      <c r="D381" t="s">
        <v>1779</v>
      </c>
      <c r="E381" t="s">
        <v>1918</v>
      </c>
      <c r="F381" t="s">
        <v>1493</v>
      </c>
      <c r="G381" t="s">
        <v>1774</v>
      </c>
      <c r="H381" t="s">
        <v>1498</v>
      </c>
      <c r="I381" t="s">
        <v>1992</v>
      </c>
      <c r="J381">
        <v>7411</v>
      </c>
      <c r="K381" t="s">
        <v>701</v>
      </c>
    </row>
    <row r="382" spans="1:11" x14ac:dyDescent="0.35">
      <c r="A382">
        <v>1118027276</v>
      </c>
      <c r="B382" t="s">
        <v>375</v>
      </c>
      <c r="C382" s="152" t="s">
        <v>2962</v>
      </c>
      <c r="D382" t="s">
        <v>2407</v>
      </c>
      <c r="E382" t="s">
        <v>2408</v>
      </c>
      <c r="F382" t="s">
        <v>1433</v>
      </c>
      <c r="H382" t="s">
        <v>1498</v>
      </c>
      <c r="I382" t="s">
        <v>1992</v>
      </c>
      <c r="J382">
        <v>7411</v>
      </c>
      <c r="K382" t="s">
        <v>701</v>
      </c>
    </row>
    <row r="383" spans="1:11" x14ac:dyDescent="0.35">
      <c r="A383">
        <v>1118027276</v>
      </c>
      <c r="B383" t="s">
        <v>375</v>
      </c>
      <c r="C383" s="152" t="s">
        <v>2962</v>
      </c>
      <c r="D383" t="s">
        <v>2407</v>
      </c>
      <c r="E383" t="s">
        <v>2409</v>
      </c>
      <c r="F383" t="s">
        <v>1433</v>
      </c>
      <c r="H383" t="s">
        <v>1498</v>
      </c>
      <c r="I383" t="s">
        <v>1992</v>
      </c>
      <c r="J383">
        <v>7411</v>
      </c>
      <c r="K383" t="s">
        <v>701</v>
      </c>
    </row>
    <row r="384" spans="1:11" x14ac:dyDescent="0.35">
      <c r="A384">
        <v>1118027276</v>
      </c>
      <c r="B384" t="s">
        <v>375</v>
      </c>
      <c r="C384" s="152" t="s">
        <v>2962</v>
      </c>
      <c r="D384" t="s">
        <v>2407</v>
      </c>
      <c r="E384" t="s">
        <v>2410</v>
      </c>
      <c r="F384" t="s">
        <v>1433</v>
      </c>
      <c r="H384" t="s">
        <v>1498</v>
      </c>
      <c r="I384" t="s">
        <v>1992</v>
      </c>
      <c r="J384">
        <v>7411</v>
      </c>
      <c r="K384" t="s">
        <v>701</v>
      </c>
    </row>
    <row r="385" spans="1:11" x14ac:dyDescent="0.35">
      <c r="A385">
        <v>1118027276</v>
      </c>
      <c r="B385" t="s">
        <v>375</v>
      </c>
      <c r="C385" s="152" t="s">
        <v>2962</v>
      </c>
      <c r="D385" t="s">
        <v>2411</v>
      </c>
      <c r="E385" t="s">
        <v>2412</v>
      </c>
      <c r="F385" t="s">
        <v>1433</v>
      </c>
      <c r="H385" t="s">
        <v>1498</v>
      </c>
      <c r="I385" t="s">
        <v>1992</v>
      </c>
      <c r="J385">
        <v>7411</v>
      </c>
      <c r="K385" t="s">
        <v>701</v>
      </c>
    </row>
    <row r="386" spans="1:11" x14ac:dyDescent="0.35">
      <c r="A386">
        <v>1118027276</v>
      </c>
      <c r="B386" t="s">
        <v>375</v>
      </c>
      <c r="C386" s="152" t="s">
        <v>2962</v>
      </c>
      <c r="D386" t="s">
        <v>2411</v>
      </c>
      <c r="E386" t="s">
        <v>2413</v>
      </c>
      <c r="F386" t="s">
        <v>1433</v>
      </c>
      <c r="H386" t="s">
        <v>1498</v>
      </c>
      <c r="I386" t="s">
        <v>1992</v>
      </c>
      <c r="J386">
        <v>7411</v>
      </c>
      <c r="K386" t="s">
        <v>701</v>
      </c>
    </row>
    <row r="387" spans="1:11" x14ac:dyDescent="0.35">
      <c r="A387">
        <v>1118027276</v>
      </c>
      <c r="B387" t="s">
        <v>375</v>
      </c>
      <c r="C387" s="152" t="s">
        <v>2962</v>
      </c>
      <c r="D387" t="s">
        <v>2411</v>
      </c>
      <c r="E387" t="s">
        <v>2414</v>
      </c>
      <c r="F387" t="s">
        <v>1433</v>
      </c>
      <c r="H387" t="s">
        <v>1498</v>
      </c>
      <c r="I387" t="s">
        <v>1992</v>
      </c>
      <c r="J387">
        <v>7411</v>
      </c>
      <c r="K387" t="s">
        <v>701</v>
      </c>
    </row>
    <row r="388" spans="1:11" x14ac:dyDescent="0.35">
      <c r="A388">
        <v>1118027276</v>
      </c>
      <c r="B388" t="s">
        <v>375</v>
      </c>
      <c r="C388" s="152" t="s">
        <v>2962</v>
      </c>
      <c r="D388" t="s">
        <v>2415</v>
      </c>
      <c r="E388" t="s">
        <v>2416</v>
      </c>
      <c r="F388" t="s">
        <v>1433</v>
      </c>
      <c r="H388" t="s">
        <v>1498</v>
      </c>
      <c r="I388" t="s">
        <v>1992</v>
      </c>
      <c r="J388">
        <v>7411</v>
      </c>
      <c r="K388" t="s">
        <v>701</v>
      </c>
    </row>
    <row r="389" spans="1:11" x14ac:dyDescent="0.35">
      <c r="A389">
        <v>1118027276</v>
      </c>
      <c r="B389" t="s">
        <v>375</v>
      </c>
      <c r="C389" s="152" t="s">
        <v>2962</v>
      </c>
      <c r="D389" t="s">
        <v>2415</v>
      </c>
      <c r="E389" t="s">
        <v>2417</v>
      </c>
      <c r="F389" t="s">
        <v>1433</v>
      </c>
      <c r="H389" t="s">
        <v>1498</v>
      </c>
      <c r="I389" t="s">
        <v>1992</v>
      </c>
      <c r="J389">
        <v>7411</v>
      </c>
      <c r="K389" t="s">
        <v>701</v>
      </c>
    </row>
    <row r="390" spans="1:11" x14ac:dyDescent="0.35">
      <c r="A390">
        <v>1118027276</v>
      </c>
      <c r="B390" t="s">
        <v>375</v>
      </c>
      <c r="C390" s="152" t="s">
        <v>2962</v>
      </c>
      <c r="D390" t="s">
        <v>2418</v>
      </c>
      <c r="E390" t="s">
        <v>2419</v>
      </c>
      <c r="F390" t="s">
        <v>1433</v>
      </c>
      <c r="H390" t="s">
        <v>1498</v>
      </c>
      <c r="I390" t="s">
        <v>1992</v>
      </c>
      <c r="J390">
        <v>7411</v>
      </c>
      <c r="K390" t="s">
        <v>701</v>
      </c>
    </row>
    <row r="391" spans="1:11" x14ac:dyDescent="0.35">
      <c r="A391">
        <v>1118027276</v>
      </c>
      <c r="B391" t="s">
        <v>375</v>
      </c>
      <c r="C391" s="152" t="s">
        <v>2962</v>
      </c>
      <c r="D391" t="s">
        <v>2418</v>
      </c>
      <c r="E391" t="s">
        <v>1717</v>
      </c>
      <c r="F391" t="s">
        <v>2278</v>
      </c>
      <c r="H391" t="s">
        <v>1439</v>
      </c>
      <c r="I391" t="s">
        <v>1992</v>
      </c>
      <c r="J391">
        <v>7411</v>
      </c>
      <c r="K391" t="s">
        <v>701</v>
      </c>
    </row>
    <row r="392" spans="1:11" x14ac:dyDescent="0.35">
      <c r="A392">
        <v>1118027276</v>
      </c>
      <c r="B392" t="s">
        <v>375</v>
      </c>
      <c r="C392" s="152" t="s">
        <v>2962</v>
      </c>
      <c r="D392" t="s">
        <v>2418</v>
      </c>
      <c r="E392" t="s">
        <v>2420</v>
      </c>
      <c r="F392" t="s">
        <v>1433</v>
      </c>
      <c r="H392" t="s">
        <v>1498</v>
      </c>
      <c r="I392" t="s">
        <v>1992</v>
      </c>
      <c r="J392">
        <v>7411</v>
      </c>
      <c r="K392" t="s">
        <v>701</v>
      </c>
    </row>
    <row r="393" spans="1:11" x14ac:dyDescent="0.35">
      <c r="A393">
        <v>1118027276</v>
      </c>
      <c r="B393" t="s">
        <v>375</v>
      </c>
      <c r="C393" s="152" t="s">
        <v>2962</v>
      </c>
      <c r="D393" t="s">
        <v>2421</v>
      </c>
      <c r="E393" t="s">
        <v>2422</v>
      </c>
      <c r="F393" t="s">
        <v>1493</v>
      </c>
      <c r="H393" t="s">
        <v>1498</v>
      </c>
      <c r="I393" t="s">
        <v>1992</v>
      </c>
      <c r="J393">
        <v>7411</v>
      </c>
      <c r="K393" t="s">
        <v>701</v>
      </c>
    </row>
    <row r="394" spans="1:11" x14ac:dyDescent="0.35">
      <c r="A394">
        <v>1118027276</v>
      </c>
      <c r="B394" t="s">
        <v>375</v>
      </c>
      <c r="C394" s="152" t="s">
        <v>2962</v>
      </c>
      <c r="D394" t="s">
        <v>2421</v>
      </c>
      <c r="E394" t="s">
        <v>2423</v>
      </c>
      <c r="F394" t="s">
        <v>1433</v>
      </c>
      <c r="H394" t="s">
        <v>1498</v>
      </c>
      <c r="I394" t="s">
        <v>1992</v>
      </c>
      <c r="J394">
        <v>7411</v>
      </c>
      <c r="K394" t="s">
        <v>701</v>
      </c>
    </row>
    <row r="395" spans="1:11" x14ac:dyDescent="0.35">
      <c r="A395">
        <v>1118027276</v>
      </c>
      <c r="B395" t="s">
        <v>375</v>
      </c>
      <c r="C395" s="152" t="s">
        <v>2962</v>
      </c>
      <c r="D395" t="s">
        <v>2424</v>
      </c>
      <c r="E395" t="s">
        <v>2425</v>
      </c>
      <c r="F395" t="s">
        <v>1917</v>
      </c>
      <c r="H395" t="s">
        <v>1498</v>
      </c>
      <c r="I395" t="s">
        <v>1992</v>
      </c>
      <c r="J395">
        <v>7411</v>
      </c>
      <c r="K395" t="s">
        <v>701</v>
      </c>
    </row>
    <row r="396" spans="1:11" x14ac:dyDescent="0.35">
      <c r="A396">
        <v>1118027276</v>
      </c>
      <c r="B396" t="s">
        <v>375</v>
      </c>
      <c r="C396" s="152" t="s">
        <v>2962</v>
      </c>
      <c r="D396" t="s">
        <v>2424</v>
      </c>
      <c r="E396" t="s">
        <v>2426</v>
      </c>
      <c r="F396" t="s">
        <v>1433</v>
      </c>
      <c r="H396" t="s">
        <v>1498</v>
      </c>
      <c r="I396" t="s">
        <v>1992</v>
      </c>
      <c r="J396">
        <v>7411</v>
      </c>
      <c r="K396" t="s">
        <v>701</v>
      </c>
    </row>
    <row r="397" spans="1:11" x14ac:dyDescent="0.35">
      <c r="A397">
        <v>1118027276</v>
      </c>
      <c r="B397" t="s">
        <v>375</v>
      </c>
      <c r="C397" s="152" t="s">
        <v>2962</v>
      </c>
      <c r="D397" t="s">
        <v>2424</v>
      </c>
      <c r="E397" t="s">
        <v>1787</v>
      </c>
      <c r="F397" t="s">
        <v>1493</v>
      </c>
      <c r="H397" t="s">
        <v>1498</v>
      </c>
      <c r="I397" t="s">
        <v>1992</v>
      </c>
      <c r="J397">
        <v>7411</v>
      </c>
      <c r="K397" t="s">
        <v>701</v>
      </c>
    </row>
    <row r="398" spans="1:11" x14ac:dyDescent="0.35">
      <c r="A398">
        <v>1118027276</v>
      </c>
      <c r="B398" t="s">
        <v>375</v>
      </c>
      <c r="C398" s="152" t="s">
        <v>2962</v>
      </c>
      <c r="D398" t="s">
        <v>2427</v>
      </c>
      <c r="E398" t="s">
        <v>2428</v>
      </c>
      <c r="F398" t="s">
        <v>1433</v>
      </c>
      <c r="H398" t="s">
        <v>1498</v>
      </c>
      <c r="I398" t="s">
        <v>1992</v>
      </c>
      <c r="J398">
        <v>7411</v>
      </c>
      <c r="K398" t="s">
        <v>701</v>
      </c>
    </row>
    <row r="399" spans="1:11" x14ac:dyDescent="0.35">
      <c r="A399">
        <v>1118027276</v>
      </c>
      <c r="B399" t="s">
        <v>375</v>
      </c>
      <c r="C399" s="152" t="s">
        <v>2962</v>
      </c>
      <c r="D399" t="s">
        <v>2427</v>
      </c>
      <c r="E399" t="s">
        <v>2429</v>
      </c>
      <c r="F399" t="s">
        <v>1433</v>
      </c>
      <c r="H399" t="s">
        <v>1498</v>
      </c>
      <c r="I399" t="s">
        <v>1992</v>
      </c>
      <c r="J399">
        <v>7411</v>
      </c>
      <c r="K399" t="s">
        <v>701</v>
      </c>
    </row>
    <row r="400" spans="1:11" x14ac:dyDescent="0.35">
      <c r="A400">
        <v>1118027276</v>
      </c>
      <c r="B400" t="s">
        <v>375</v>
      </c>
      <c r="C400" s="152" t="s">
        <v>2962</v>
      </c>
      <c r="D400" t="s">
        <v>2427</v>
      </c>
      <c r="E400" t="s">
        <v>2430</v>
      </c>
      <c r="F400" t="s">
        <v>1433</v>
      </c>
      <c r="H400" t="s">
        <v>1498</v>
      </c>
      <c r="I400" t="s">
        <v>1992</v>
      </c>
      <c r="J400">
        <v>7411</v>
      </c>
      <c r="K400" t="s">
        <v>701</v>
      </c>
    </row>
    <row r="401" spans="1:11" x14ac:dyDescent="0.35">
      <c r="A401">
        <v>1118027662</v>
      </c>
      <c r="B401" t="s">
        <v>41</v>
      </c>
      <c r="C401" s="150" t="s">
        <v>2961</v>
      </c>
      <c r="D401" t="s">
        <v>1532</v>
      </c>
      <c r="E401" t="s">
        <v>1530</v>
      </c>
      <c r="F401" t="s">
        <v>1922</v>
      </c>
      <c r="G401" t="s">
        <v>1921</v>
      </c>
      <c r="H401" t="s">
        <v>1498</v>
      </c>
      <c r="I401" t="s">
        <v>703</v>
      </c>
      <c r="J401">
        <v>2262</v>
      </c>
      <c r="K401" t="s">
        <v>706</v>
      </c>
    </row>
    <row r="402" spans="1:11" x14ac:dyDescent="0.35">
      <c r="A402">
        <v>1118027662</v>
      </c>
      <c r="B402" t="s">
        <v>41</v>
      </c>
      <c r="C402" s="150" t="s">
        <v>2961</v>
      </c>
      <c r="D402" t="s">
        <v>1848</v>
      </c>
      <c r="E402" t="s">
        <v>1844</v>
      </c>
      <c r="F402" t="s">
        <v>1922</v>
      </c>
      <c r="G402" t="s">
        <v>1923</v>
      </c>
      <c r="H402" t="s">
        <v>1498</v>
      </c>
      <c r="I402" t="s">
        <v>703</v>
      </c>
      <c r="J402">
        <v>2262</v>
      </c>
      <c r="K402" t="s">
        <v>706</v>
      </c>
    </row>
    <row r="403" spans="1:11" x14ac:dyDescent="0.35">
      <c r="A403">
        <v>1118027662</v>
      </c>
      <c r="B403" t="s">
        <v>41</v>
      </c>
      <c r="C403" s="152" t="s">
        <v>2962</v>
      </c>
      <c r="D403" t="s">
        <v>2431</v>
      </c>
      <c r="E403" t="s">
        <v>2432</v>
      </c>
      <c r="F403" t="s">
        <v>1433</v>
      </c>
      <c r="H403" t="s">
        <v>1498</v>
      </c>
      <c r="I403" t="s">
        <v>703</v>
      </c>
      <c r="J403">
        <v>2262</v>
      </c>
      <c r="K403" t="s">
        <v>706</v>
      </c>
    </row>
    <row r="404" spans="1:11" x14ac:dyDescent="0.35">
      <c r="A404">
        <v>1118027662</v>
      </c>
      <c r="B404" t="s">
        <v>41</v>
      </c>
      <c r="C404" s="152" t="s">
        <v>2962</v>
      </c>
      <c r="D404" t="s">
        <v>2431</v>
      </c>
      <c r="E404" t="s">
        <v>2433</v>
      </c>
      <c r="F404" t="s">
        <v>1433</v>
      </c>
      <c r="H404" t="s">
        <v>1498</v>
      </c>
      <c r="I404" t="s">
        <v>703</v>
      </c>
      <c r="J404">
        <v>2262</v>
      </c>
      <c r="K404" t="s">
        <v>706</v>
      </c>
    </row>
    <row r="405" spans="1:11" x14ac:dyDescent="0.35">
      <c r="A405">
        <v>1118027662</v>
      </c>
      <c r="B405" t="s">
        <v>41</v>
      </c>
      <c r="C405" s="152" t="s">
        <v>2962</v>
      </c>
      <c r="D405" t="s">
        <v>2431</v>
      </c>
      <c r="E405" t="s">
        <v>2434</v>
      </c>
      <c r="F405" t="s">
        <v>1433</v>
      </c>
      <c r="H405" t="s">
        <v>1498</v>
      </c>
      <c r="I405" t="s">
        <v>703</v>
      </c>
      <c r="J405">
        <v>2262</v>
      </c>
      <c r="K405" t="s">
        <v>706</v>
      </c>
    </row>
    <row r="406" spans="1:11" x14ac:dyDescent="0.35">
      <c r="A406">
        <v>1118027662</v>
      </c>
      <c r="B406" t="s">
        <v>41</v>
      </c>
      <c r="C406" s="152" t="s">
        <v>2962</v>
      </c>
      <c r="D406" t="s">
        <v>2431</v>
      </c>
      <c r="E406" t="s">
        <v>2435</v>
      </c>
      <c r="F406" t="s">
        <v>1433</v>
      </c>
      <c r="H406" t="s">
        <v>1498</v>
      </c>
      <c r="I406" t="s">
        <v>703</v>
      </c>
      <c r="J406">
        <v>2262</v>
      </c>
      <c r="K406" t="s">
        <v>706</v>
      </c>
    </row>
    <row r="407" spans="1:11" x14ac:dyDescent="0.35">
      <c r="A407">
        <v>1118027662</v>
      </c>
      <c r="B407" t="s">
        <v>41</v>
      </c>
      <c r="C407" s="152" t="s">
        <v>2962</v>
      </c>
      <c r="D407" t="s">
        <v>2436</v>
      </c>
      <c r="E407" t="s">
        <v>2437</v>
      </c>
      <c r="F407" t="s">
        <v>1433</v>
      </c>
      <c r="H407" t="s">
        <v>1498</v>
      </c>
      <c r="I407" t="s">
        <v>703</v>
      </c>
      <c r="J407">
        <v>2262</v>
      </c>
      <c r="K407" t="s">
        <v>706</v>
      </c>
    </row>
    <row r="408" spans="1:11" x14ac:dyDescent="0.35">
      <c r="A408">
        <v>1118027662</v>
      </c>
      <c r="B408" t="s">
        <v>41</v>
      </c>
      <c r="C408" s="152" t="s">
        <v>2962</v>
      </c>
      <c r="D408" t="s">
        <v>2436</v>
      </c>
      <c r="E408" t="s">
        <v>2438</v>
      </c>
      <c r="F408" t="s">
        <v>1433</v>
      </c>
      <c r="H408" t="s">
        <v>1498</v>
      </c>
      <c r="I408" t="s">
        <v>703</v>
      </c>
      <c r="J408">
        <v>2262</v>
      </c>
      <c r="K408" t="s">
        <v>706</v>
      </c>
    </row>
    <row r="409" spans="1:11" x14ac:dyDescent="0.35">
      <c r="A409">
        <v>1118027662</v>
      </c>
      <c r="B409" t="s">
        <v>41</v>
      </c>
      <c r="C409" s="152" t="s">
        <v>2962</v>
      </c>
      <c r="D409" t="s">
        <v>2436</v>
      </c>
      <c r="E409" t="s">
        <v>2439</v>
      </c>
      <c r="F409" t="s">
        <v>1433</v>
      </c>
      <c r="H409" t="s">
        <v>1498</v>
      </c>
      <c r="I409" t="s">
        <v>703</v>
      </c>
      <c r="J409">
        <v>2262</v>
      </c>
      <c r="K409" t="s">
        <v>706</v>
      </c>
    </row>
    <row r="410" spans="1:11" x14ac:dyDescent="0.35">
      <c r="A410">
        <v>1118027662</v>
      </c>
      <c r="B410" t="s">
        <v>41</v>
      </c>
      <c r="C410" s="152" t="s">
        <v>2962</v>
      </c>
      <c r="D410" t="s">
        <v>2440</v>
      </c>
      <c r="E410" t="s">
        <v>2441</v>
      </c>
      <c r="F410" t="s">
        <v>1433</v>
      </c>
      <c r="H410" t="s">
        <v>1498</v>
      </c>
      <c r="I410" t="s">
        <v>703</v>
      </c>
      <c r="J410">
        <v>2262</v>
      </c>
      <c r="K410" t="s">
        <v>706</v>
      </c>
    </row>
    <row r="411" spans="1:11" x14ac:dyDescent="0.35">
      <c r="A411">
        <v>1118027662</v>
      </c>
      <c r="B411" t="s">
        <v>41</v>
      </c>
      <c r="C411" s="152" t="s">
        <v>2962</v>
      </c>
      <c r="D411" t="s">
        <v>2440</v>
      </c>
      <c r="E411" t="s">
        <v>2442</v>
      </c>
      <c r="F411" t="s">
        <v>1433</v>
      </c>
      <c r="H411" t="s">
        <v>1498</v>
      </c>
      <c r="I411" t="s">
        <v>703</v>
      </c>
      <c r="J411">
        <v>2262</v>
      </c>
      <c r="K411" t="s">
        <v>706</v>
      </c>
    </row>
    <row r="412" spans="1:11" x14ac:dyDescent="0.35">
      <c r="A412">
        <v>1118027662</v>
      </c>
      <c r="B412" t="s">
        <v>41</v>
      </c>
      <c r="C412" s="152" t="s">
        <v>2962</v>
      </c>
      <c r="D412" t="s">
        <v>2440</v>
      </c>
      <c r="E412" t="s">
        <v>2443</v>
      </c>
      <c r="F412" t="s">
        <v>1433</v>
      </c>
      <c r="H412" t="s">
        <v>1498</v>
      </c>
      <c r="I412" t="s">
        <v>703</v>
      </c>
      <c r="J412">
        <v>2262</v>
      </c>
      <c r="K412" t="s">
        <v>706</v>
      </c>
    </row>
    <row r="413" spans="1:11" x14ac:dyDescent="0.35">
      <c r="A413">
        <v>1118027834</v>
      </c>
      <c r="B413" t="s">
        <v>47</v>
      </c>
      <c r="C413" s="150" t="s">
        <v>2961</v>
      </c>
      <c r="D413" t="s">
        <v>1615</v>
      </c>
      <c r="E413" t="s">
        <v>1617</v>
      </c>
      <c r="F413" t="s">
        <v>1433</v>
      </c>
      <c r="G413" t="s">
        <v>1616</v>
      </c>
      <c r="H413" t="s">
        <v>1439</v>
      </c>
      <c r="I413" t="s">
        <v>709</v>
      </c>
      <c r="J413">
        <v>5223</v>
      </c>
      <c r="K413" t="s">
        <v>679</v>
      </c>
    </row>
    <row r="414" spans="1:11" x14ac:dyDescent="0.35">
      <c r="A414">
        <v>1118027834</v>
      </c>
      <c r="B414" t="s">
        <v>47</v>
      </c>
      <c r="C414" s="150" t="s">
        <v>2961</v>
      </c>
      <c r="D414" t="s">
        <v>1924</v>
      </c>
      <c r="E414" t="s">
        <v>1623</v>
      </c>
      <c r="F414" t="s">
        <v>1433</v>
      </c>
      <c r="G414" t="s">
        <v>1445</v>
      </c>
      <c r="H414" t="s">
        <v>1439</v>
      </c>
      <c r="I414" t="s">
        <v>709</v>
      </c>
      <c r="J414">
        <v>5223</v>
      </c>
      <c r="K414" t="s">
        <v>679</v>
      </c>
    </row>
    <row r="415" spans="1:11" x14ac:dyDescent="0.35">
      <c r="A415">
        <v>1118027834</v>
      </c>
      <c r="B415" t="s">
        <v>47</v>
      </c>
      <c r="C415" s="150" t="s">
        <v>2961</v>
      </c>
      <c r="D415" t="s">
        <v>1499</v>
      </c>
      <c r="E415" t="s">
        <v>1501</v>
      </c>
      <c r="F415" t="s">
        <v>1493</v>
      </c>
      <c r="G415" t="s">
        <v>1500</v>
      </c>
      <c r="H415" t="s">
        <v>1498</v>
      </c>
      <c r="I415" t="s">
        <v>709</v>
      </c>
      <c r="J415">
        <v>5223</v>
      </c>
      <c r="K415" t="s">
        <v>679</v>
      </c>
    </row>
    <row r="416" spans="1:11" x14ac:dyDescent="0.35">
      <c r="A416">
        <v>1118027834</v>
      </c>
      <c r="B416" t="s">
        <v>47</v>
      </c>
      <c r="C416" s="150" t="s">
        <v>2961</v>
      </c>
      <c r="D416" t="s">
        <v>1504</v>
      </c>
      <c r="E416" t="s">
        <v>1925</v>
      </c>
      <c r="F416" t="s">
        <v>1493</v>
      </c>
      <c r="G416" t="s">
        <v>1748</v>
      </c>
      <c r="H416" t="s">
        <v>1498</v>
      </c>
      <c r="I416" t="s">
        <v>709</v>
      </c>
      <c r="J416">
        <v>5223</v>
      </c>
      <c r="K416" t="s">
        <v>679</v>
      </c>
    </row>
    <row r="417" spans="1:11" x14ac:dyDescent="0.35">
      <c r="A417">
        <v>1118027834</v>
      </c>
      <c r="B417" t="s">
        <v>47</v>
      </c>
      <c r="C417" s="150" t="s">
        <v>2961</v>
      </c>
      <c r="D417" t="s">
        <v>1521</v>
      </c>
      <c r="E417" t="s">
        <v>1523</v>
      </c>
      <c r="F417" t="s">
        <v>1493</v>
      </c>
      <c r="G417" t="s">
        <v>1522</v>
      </c>
      <c r="H417" t="s">
        <v>1498</v>
      </c>
      <c r="I417" t="s">
        <v>709</v>
      </c>
      <c r="J417">
        <v>5223</v>
      </c>
      <c r="K417" t="s">
        <v>679</v>
      </c>
    </row>
    <row r="418" spans="1:11" x14ac:dyDescent="0.35">
      <c r="A418">
        <v>1118027834</v>
      </c>
      <c r="B418" t="s">
        <v>47</v>
      </c>
      <c r="C418" s="150" t="s">
        <v>2961</v>
      </c>
      <c r="D418" t="s">
        <v>1926</v>
      </c>
      <c r="E418" t="s">
        <v>1927</v>
      </c>
      <c r="F418" t="s">
        <v>1928</v>
      </c>
      <c r="G418" t="s">
        <v>1567</v>
      </c>
      <c r="H418" t="s">
        <v>1439</v>
      </c>
      <c r="I418" t="s">
        <v>709</v>
      </c>
      <c r="J418">
        <v>5223</v>
      </c>
      <c r="K418" t="s">
        <v>679</v>
      </c>
    </row>
    <row r="419" spans="1:11" x14ac:dyDescent="0.35">
      <c r="A419">
        <v>1118027834</v>
      </c>
      <c r="B419" t="s">
        <v>47</v>
      </c>
      <c r="C419" s="150" t="s">
        <v>2961</v>
      </c>
      <c r="D419" t="s">
        <v>1705</v>
      </c>
      <c r="E419" t="s">
        <v>1927</v>
      </c>
      <c r="F419" t="s">
        <v>1928</v>
      </c>
      <c r="G419" t="s">
        <v>1567</v>
      </c>
      <c r="H419" t="s">
        <v>1439</v>
      </c>
      <c r="I419" t="s">
        <v>709</v>
      </c>
      <c r="J419">
        <v>5223</v>
      </c>
      <c r="K419" t="s">
        <v>679</v>
      </c>
    </row>
    <row r="420" spans="1:11" x14ac:dyDescent="0.35">
      <c r="A420">
        <v>1118027834</v>
      </c>
      <c r="B420" t="s">
        <v>47</v>
      </c>
      <c r="C420" s="150" t="s">
        <v>2961</v>
      </c>
      <c r="D420" t="s">
        <v>1572</v>
      </c>
      <c r="E420" t="s">
        <v>1574</v>
      </c>
      <c r="F420" t="s">
        <v>1433</v>
      </c>
      <c r="G420" t="s">
        <v>1460</v>
      </c>
      <c r="H420" t="s">
        <v>1439</v>
      </c>
      <c r="I420" t="s">
        <v>709</v>
      </c>
      <c r="J420">
        <v>5223</v>
      </c>
      <c r="K420" t="s">
        <v>679</v>
      </c>
    </row>
    <row r="421" spans="1:11" x14ac:dyDescent="0.35">
      <c r="A421">
        <v>1118027834</v>
      </c>
      <c r="B421" t="s">
        <v>47</v>
      </c>
      <c r="C421" s="152" t="s">
        <v>2962</v>
      </c>
      <c r="D421" t="s">
        <v>2445</v>
      </c>
      <c r="E421" t="s">
        <v>1530</v>
      </c>
      <c r="F421" t="s">
        <v>1922</v>
      </c>
      <c r="H421" t="s">
        <v>1498</v>
      </c>
      <c r="I421" t="s">
        <v>709</v>
      </c>
      <c r="J421">
        <v>5223</v>
      </c>
      <c r="K421" t="s">
        <v>679</v>
      </c>
    </row>
    <row r="422" spans="1:11" x14ac:dyDescent="0.35">
      <c r="A422">
        <v>1118027834</v>
      </c>
      <c r="B422" t="s">
        <v>47</v>
      </c>
      <c r="C422" s="152" t="s">
        <v>2962</v>
      </c>
      <c r="D422" t="s">
        <v>2445</v>
      </c>
      <c r="E422" t="s">
        <v>2446</v>
      </c>
      <c r="F422" t="s">
        <v>2278</v>
      </c>
      <c r="H422" t="s">
        <v>1439</v>
      </c>
      <c r="I422" t="s">
        <v>709</v>
      </c>
      <c r="J422">
        <v>5223</v>
      </c>
      <c r="K422" t="s">
        <v>679</v>
      </c>
    </row>
    <row r="423" spans="1:11" x14ac:dyDescent="0.35">
      <c r="A423">
        <v>1118027834</v>
      </c>
      <c r="B423" t="s">
        <v>47</v>
      </c>
      <c r="C423" s="152" t="s">
        <v>2962</v>
      </c>
      <c r="D423" t="s">
        <v>2445</v>
      </c>
      <c r="E423" t="s">
        <v>2447</v>
      </c>
      <c r="F423" t="s">
        <v>1922</v>
      </c>
      <c r="H423" t="s">
        <v>1498</v>
      </c>
      <c r="I423" t="s">
        <v>709</v>
      </c>
      <c r="J423">
        <v>5223</v>
      </c>
      <c r="K423" t="s">
        <v>679</v>
      </c>
    </row>
    <row r="424" spans="1:11" x14ac:dyDescent="0.35">
      <c r="A424">
        <v>1118027834</v>
      </c>
      <c r="B424" t="s">
        <v>47</v>
      </c>
      <c r="C424" s="152" t="s">
        <v>2962</v>
      </c>
      <c r="D424" t="s">
        <v>2448</v>
      </c>
      <c r="E424" t="s">
        <v>2449</v>
      </c>
      <c r="F424" t="s">
        <v>1433</v>
      </c>
      <c r="H424" t="s">
        <v>1498</v>
      </c>
      <c r="I424" t="s">
        <v>709</v>
      </c>
      <c r="J424">
        <v>5223</v>
      </c>
      <c r="K424" t="s">
        <v>679</v>
      </c>
    </row>
    <row r="425" spans="1:11" x14ac:dyDescent="0.35">
      <c r="A425">
        <v>1118027834</v>
      </c>
      <c r="B425" t="s">
        <v>47</v>
      </c>
      <c r="C425" s="152" t="s">
        <v>2962</v>
      </c>
      <c r="D425" t="s">
        <v>2448</v>
      </c>
      <c r="E425" t="s">
        <v>2450</v>
      </c>
      <c r="F425" t="s">
        <v>1433</v>
      </c>
      <c r="H425" t="s">
        <v>1498</v>
      </c>
      <c r="I425" t="s">
        <v>709</v>
      </c>
      <c r="J425">
        <v>5223</v>
      </c>
      <c r="K425" t="s">
        <v>679</v>
      </c>
    </row>
    <row r="426" spans="1:11" x14ac:dyDescent="0.35">
      <c r="A426">
        <v>1118027834</v>
      </c>
      <c r="B426" t="s">
        <v>47</v>
      </c>
      <c r="C426" s="152" t="s">
        <v>2962</v>
      </c>
      <c r="D426" t="s">
        <v>2448</v>
      </c>
      <c r="E426" t="s">
        <v>1435</v>
      </c>
      <c r="F426" t="s">
        <v>2278</v>
      </c>
      <c r="H426" t="s">
        <v>1439</v>
      </c>
      <c r="I426" t="s">
        <v>709</v>
      </c>
      <c r="J426">
        <v>5223</v>
      </c>
      <c r="K426" t="s">
        <v>679</v>
      </c>
    </row>
    <row r="427" spans="1:11" x14ac:dyDescent="0.35">
      <c r="A427">
        <v>1118027834</v>
      </c>
      <c r="B427" t="s">
        <v>47</v>
      </c>
      <c r="C427" s="152" t="s">
        <v>2962</v>
      </c>
      <c r="D427" t="s">
        <v>2451</v>
      </c>
      <c r="E427" t="s">
        <v>2452</v>
      </c>
      <c r="F427" t="s">
        <v>2278</v>
      </c>
      <c r="H427" t="s">
        <v>1439</v>
      </c>
      <c r="I427" t="s">
        <v>709</v>
      </c>
      <c r="J427">
        <v>5223</v>
      </c>
      <c r="K427" t="s">
        <v>679</v>
      </c>
    </row>
    <row r="428" spans="1:11" x14ac:dyDescent="0.35">
      <c r="A428">
        <v>1118027834</v>
      </c>
      <c r="B428" t="s">
        <v>47</v>
      </c>
      <c r="C428" s="152" t="s">
        <v>2962</v>
      </c>
      <c r="D428" t="s">
        <v>2451</v>
      </c>
      <c r="E428" t="s">
        <v>2453</v>
      </c>
      <c r="F428" t="s">
        <v>2278</v>
      </c>
      <c r="H428" t="s">
        <v>1439</v>
      </c>
      <c r="I428" t="s">
        <v>709</v>
      </c>
      <c r="J428">
        <v>5223</v>
      </c>
      <c r="K428" t="s">
        <v>679</v>
      </c>
    </row>
    <row r="429" spans="1:11" x14ac:dyDescent="0.35">
      <c r="A429">
        <v>1118027834</v>
      </c>
      <c r="B429" t="s">
        <v>47</v>
      </c>
      <c r="C429" s="152" t="s">
        <v>2962</v>
      </c>
      <c r="D429" t="s">
        <v>2454</v>
      </c>
      <c r="E429" t="s">
        <v>2455</v>
      </c>
      <c r="F429" t="s">
        <v>1493</v>
      </c>
      <c r="H429" t="s">
        <v>1498</v>
      </c>
      <c r="I429" t="s">
        <v>709</v>
      </c>
      <c r="J429">
        <v>5223</v>
      </c>
      <c r="K429" t="s">
        <v>679</v>
      </c>
    </row>
    <row r="430" spans="1:11" x14ac:dyDescent="0.35">
      <c r="A430">
        <v>1118027834</v>
      </c>
      <c r="B430" t="s">
        <v>47</v>
      </c>
      <c r="C430" s="152" t="s">
        <v>2962</v>
      </c>
      <c r="D430" t="s">
        <v>2454</v>
      </c>
      <c r="E430" t="s">
        <v>2456</v>
      </c>
      <c r="F430" t="s">
        <v>1493</v>
      </c>
      <c r="H430" t="s">
        <v>1498</v>
      </c>
      <c r="I430" t="s">
        <v>709</v>
      </c>
      <c r="J430">
        <v>5223</v>
      </c>
      <c r="K430" t="s">
        <v>679</v>
      </c>
    </row>
    <row r="431" spans="1:11" x14ac:dyDescent="0.35">
      <c r="A431">
        <v>1118027834</v>
      </c>
      <c r="B431" t="s">
        <v>47</v>
      </c>
      <c r="C431" s="152" t="s">
        <v>2962</v>
      </c>
      <c r="D431" t="s">
        <v>2454</v>
      </c>
      <c r="E431" t="s">
        <v>2457</v>
      </c>
      <c r="F431" t="s">
        <v>1433</v>
      </c>
      <c r="H431" t="s">
        <v>1498</v>
      </c>
      <c r="I431" t="s">
        <v>709</v>
      </c>
      <c r="J431">
        <v>5223</v>
      </c>
      <c r="K431" t="s">
        <v>679</v>
      </c>
    </row>
    <row r="432" spans="1:11" x14ac:dyDescent="0.35">
      <c r="A432">
        <v>1118027941</v>
      </c>
      <c r="B432" t="s">
        <v>53</v>
      </c>
      <c r="C432" s="150" t="s">
        <v>2961</v>
      </c>
      <c r="D432" t="s">
        <v>1929</v>
      </c>
      <c r="E432" t="s">
        <v>1449</v>
      </c>
      <c r="F432" t="s">
        <v>1433</v>
      </c>
      <c r="G432" t="s">
        <v>1448</v>
      </c>
      <c r="H432" t="s">
        <v>1439</v>
      </c>
      <c r="I432" t="s">
        <v>1993</v>
      </c>
      <c r="J432">
        <v>3313</v>
      </c>
      <c r="K432" t="s">
        <v>715</v>
      </c>
    </row>
    <row r="433" spans="1:11" x14ac:dyDescent="0.35">
      <c r="A433">
        <v>1118027941</v>
      </c>
      <c r="B433" t="s">
        <v>53</v>
      </c>
      <c r="C433" s="150" t="s">
        <v>2961</v>
      </c>
      <c r="D433" t="s">
        <v>1930</v>
      </c>
      <c r="E433" t="s">
        <v>1449</v>
      </c>
      <c r="F433" t="s">
        <v>1433</v>
      </c>
      <c r="G433" t="s">
        <v>1448</v>
      </c>
      <c r="H433" t="s">
        <v>1439</v>
      </c>
      <c r="I433" t="s">
        <v>1993</v>
      </c>
      <c r="J433">
        <v>3313</v>
      </c>
      <c r="K433" t="s">
        <v>715</v>
      </c>
    </row>
    <row r="434" spans="1:11" x14ac:dyDescent="0.35">
      <c r="A434">
        <v>1118027941</v>
      </c>
      <c r="B434" t="s">
        <v>53</v>
      </c>
      <c r="C434" s="150" t="s">
        <v>2961</v>
      </c>
      <c r="D434" t="s">
        <v>1929</v>
      </c>
      <c r="E434" t="s">
        <v>1449</v>
      </c>
      <c r="F434" t="s">
        <v>1433</v>
      </c>
      <c r="G434" t="s">
        <v>1448</v>
      </c>
      <c r="H434" t="s">
        <v>1439</v>
      </c>
      <c r="I434" t="s">
        <v>1993</v>
      </c>
      <c r="J434">
        <v>3313</v>
      </c>
      <c r="K434" t="s">
        <v>715</v>
      </c>
    </row>
    <row r="435" spans="1:11" x14ac:dyDescent="0.35">
      <c r="A435">
        <v>1118027941</v>
      </c>
      <c r="B435" t="s">
        <v>53</v>
      </c>
      <c r="C435" s="150" t="s">
        <v>2961</v>
      </c>
      <c r="D435" t="s">
        <v>1930</v>
      </c>
      <c r="E435" t="s">
        <v>1449</v>
      </c>
      <c r="F435" t="s">
        <v>1433</v>
      </c>
      <c r="G435" t="s">
        <v>1448</v>
      </c>
      <c r="H435" t="s">
        <v>1439</v>
      </c>
      <c r="I435" t="s">
        <v>1993</v>
      </c>
      <c r="J435">
        <v>3313</v>
      </c>
      <c r="K435" t="s">
        <v>715</v>
      </c>
    </row>
    <row r="436" spans="1:11" x14ac:dyDescent="0.35">
      <c r="A436">
        <v>1118027941</v>
      </c>
      <c r="B436" t="s">
        <v>53</v>
      </c>
      <c r="C436" s="152" t="s">
        <v>2962</v>
      </c>
      <c r="D436" t="s">
        <v>2458</v>
      </c>
      <c r="E436" t="s">
        <v>2459</v>
      </c>
      <c r="F436" t="s">
        <v>1433</v>
      </c>
      <c r="H436" t="s">
        <v>1498</v>
      </c>
      <c r="I436" t="s">
        <v>1993</v>
      </c>
      <c r="J436">
        <v>3313</v>
      </c>
      <c r="K436" t="s">
        <v>715</v>
      </c>
    </row>
    <row r="437" spans="1:11" x14ac:dyDescent="0.35">
      <c r="A437">
        <v>1118027941</v>
      </c>
      <c r="B437" t="s">
        <v>53</v>
      </c>
      <c r="C437" s="152" t="s">
        <v>2962</v>
      </c>
      <c r="D437" t="s">
        <v>2458</v>
      </c>
      <c r="E437" t="s">
        <v>2460</v>
      </c>
      <c r="F437" t="s">
        <v>1433</v>
      </c>
      <c r="H437" t="s">
        <v>1498</v>
      </c>
      <c r="I437" t="s">
        <v>1993</v>
      </c>
      <c r="J437">
        <v>3313</v>
      </c>
      <c r="K437" t="s">
        <v>715</v>
      </c>
    </row>
    <row r="438" spans="1:11" x14ac:dyDescent="0.35">
      <c r="A438">
        <v>1118027941</v>
      </c>
      <c r="B438" t="s">
        <v>53</v>
      </c>
      <c r="C438" s="152" t="s">
        <v>2962</v>
      </c>
      <c r="D438" t="s">
        <v>2458</v>
      </c>
      <c r="E438" t="s">
        <v>2461</v>
      </c>
      <c r="F438" t="s">
        <v>1433</v>
      </c>
      <c r="H438" t="s">
        <v>1498</v>
      </c>
      <c r="I438" t="s">
        <v>1993</v>
      </c>
      <c r="J438">
        <v>3313</v>
      </c>
      <c r="K438" t="s">
        <v>715</v>
      </c>
    </row>
    <row r="439" spans="1:11" x14ac:dyDescent="0.35">
      <c r="A439">
        <v>1118027941</v>
      </c>
      <c r="B439" t="s">
        <v>53</v>
      </c>
      <c r="C439" s="152" t="s">
        <v>2962</v>
      </c>
      <c r="D439" t="s">
        <v>2462</v>
      </c>
      <c r="E439" t="s">
        <v>2463</v>
      </c>
      <c r="F439" t="s">
        <v>1433</v>
      </c>
      <c r="H439" t="s">
        <v>1498</v>
      </c>
      <c r="I439" t="s">
        <v>1993</v>
      </c>
      <c r="J439">
        <v>3313</v>
      </c>
      <c r="K439" t="s">
        <v>715</v>
      </c>
    </row>
    <row r="440" spans="1:11" x14ac:dyDescent="0.35">
      <c r="A440">
        <v>1118027941</v>
      </c>
      <c r="B440" t="s">
        <v>53</v>
      </c>
      <c r="C440" s="152" t="s">
        <v>2962</v>
      </c>
      <c r="D440" t="s">
        <v>2462</v>
      </c>
      <c r="E440" t="s">
        <v>2464</v>
      </c>
      <c r="F440" t="s">
        <v>1433</v>
      </c>
      <c r="H440" t="s">
        <v>1498</v>
      </c>
      <c r="I440" t="s">
        <v>1993</v>
      </c>
      <c r="J440">
        <v>3313</v>
      </c>
      <c r="K440" t="s">
        <v>715</v>
      </c>
    </row>
    <row r="441" spans="1:11" x14ac:dyDescent="0.35">
      <c r="A441">
        <v>1118027941</v>
      </c>
      <c r="B441" t="s">
        <v>53</v>
      </c>
      <c r="C441" s="152" t="s">
        <v>2962</v>
      </c>
      <c r="D441" t="s">
        <v>2462</v>
      </c>
      <c r="E441" t="s">
        <v>2465</v>
      </c>
      <c r="F441" t="s">
        <v>1433</v>
      </c>
      <c r="H441" t="s">
        <v>1498</v>
      </c>
      <c r="I441" t="s">
        <v>1993</v>
      </c>
      <c r="J441">
        <v>3313</v>
      </c>
      <c r="K441" t="s">
        <v>715</v>
      </c>
    </row>
    <row r="442" spans="1:11" x14ac:dyDescent="0.35">
      <c r="A442">
        <v>1118028027</v>
      </c>
      <c r="B442" t="s">
        <v>59</v>
      </c>
      <c r="C442" s="152" t="s">
        <v>2962</v>
      </c>
      <c r="D442" t="s">
        <v>2467</v>
      </c>
      <c r="E442" t="s">
        <v>2468</v>
      </c>
      <c r="F442" t="s">
        <v>1433</v>
      </c>
      <c r="H442" t="s">
        <v>1498</v>
      </c>
      <c r="I442" t="s">
        <v>2009</v>
      </c>
      <c r="J442">
        <v>8341</v>
      </c>
      <c r="K442" t="s">
        <v>720</v>
      </c>
    </row>
    <row r="443" spans="1:11" x14ac:dyDescent="0.35">
      <c r="A443">
        <v>1118028027</v>
      </c>
      <c r="B443" t="s">
        <v>59</v>
      </c>
      <c r="C443" s="152" t="s">
        <v>2962</v>
      </c>
      <c r="D443" t="s">
        <v>2467</v>
      </c>
      <c r="E443" t="s">
        <v>2469</v>
      </c>
      <c r="F443" t="s">
        <v>1433</v>
      </c>
      <c r="H443" t="s">
        <v>1498</v>
      </c>
      <c r="I443" t="s">
        <v>2009</v>
      </c>
      <c r="J443">
        <v>8341</v>
      </c>
      <c r="K443" t="s">
        <v>720</v>
      </c>
    </row>
    <row r="444" spans="1:11" x14ac:dyDescent="0.35">
      <c r="A444">
        <v>1118028027</v>
      </c>
      <c r="B444" t="s">
        <v>59</v>
      </c>
      <c r="C444" s="152" t="s">
        <v>2962</v>
      </c>
      <c r="D444" t="s">
        <v>2467</v>
      </c>
      <c r="E444" t="s">
        <v>2470</v>
      </c>
      <c r="F444" t="s">
        <v>1433</v>
      </c>
      <c r="H444" t="s">
        <v>1498</v>
      </c>
      <c r="I444" t="s">
        <v>2009</v>
      </c>
      <c r="J444">
        <v>8341</v>
      </c>
      <c r="K444" t="s">
        <v>720</v>
      </c>
    </row>
    <row r="445" spans="1:11" x14ac:dyDescent="0.35">
      <c r="A445">
        <v>1118028027</v>
      </c>
      <c r="B445" t="s">
        <v>59</v>
      </c>
      <c r="C445" s="152" t="s">
        <v>2962</v>
      </c>
      <c r="D445" t="s">
        <v>2471</v>
      </c>
      <c r="E445" t="s">
        <v>2472</v>
      </c>
      <c r="F445" t="s">
        <v>1433</v>
      </c>
      <c r="H445" t="s">
        <v>1498</v>
      </c>
      <c r="I445" t="s">
        <v>2009</v>
      </c>
      <c r="J445">
        <v>8341</v>
      </c>
      <c r="K445" t="s">
        <v>720</v>
      </c>
    </row>
    <row r="446" spans="1:11" x14ac:dyDescent="0.35">
      <c r="A446">
        <v>1118028027</v>
      </c>
      <c r="B446" t="s">
        <v>59</v>
      </c>
      <c r="C446" s="152" t="s">
        <v>2962</v>
      </c>
      <c r="D446" t="s">
        <v>2471</v>
      </c>
      <c r="E446" t="s">
        <v>2473</v>
      </c>
      <c r="F446" t="s">
        <v>1433</v>
      </c>
      <c r="H446" t="s">
        <v>1498</v>
      </c>
      <c r="I446" t="s">
        <v>2009</v>
      </c>
      <c r="J446">
        <v>8341</v>
      </c>
      <c r="K446" t="s">
        <v>720</v>
      </c>
    </row>
    <row r="447" spans="1:11" x14ac:dyDescent="0.35">
      <c r="A447">
        <v>1118028027</v>
      </c>
      <c r="B447" t="s">
        <v>59</v>
      </c>
      <c r="C447" s="152" t="s">
        <v>2962</v>
      </c>
      <c r="D447" t="s">
        <v>2471</v>
      </c>
      <c r="E447" t="s">
        <v>2474</v>
      </c>
      <c r="F447" t="s">
        <v>1433</v>
      </c>
      <c r="H447" t="s">
        <v>1498</v>
      </c>
      <c r="I447" t="s">
        <v>2009</v>
      </c>
      <c r="J447">
        <v>8341</v>
      </c>
      <c r="K447" t="s">
        <v>720</v>
      </c>
    </row>
    <row r="448" spans="1:11" x14ac:dyDescent="0.35">
      <c r="A448">
        <v>1118028038</v>
      </c>
      <c r="B448" t="s">
        <v>65</v>
      </c>
      <c r="C448" s="150" t="s">
        <v>2961</v>
      </c>
      <c r="D448" t="s">
        <v>1931</v>
      </c>
      <c r="E448" t="s">
        <v>1443</v>
      </c>
      <c r="F448" t="s">
        <v>1433</v>
      </c>
      <c r="G448" t="s">
        <v>1434</v>
      </c>
      <c r="H448" t="s">
        <v>1439</v>
      </c>
      <c r="I448" t="s">
        <v>722</v>
      </c>
      <c r="J448">
        <v>3322</v>
      </c>
      <c r="K448" t="s">
        <v>725</v>
      </c>
    </row>
    <row r="449" spans="1:11" x14ac:dyDescent="0.35">
      <c r="A449">
        <v>1118028038</v>
      </c>
      <c r="B449" t="s">
        <v>65</v>
      </c>
      <c r="C449" s="150" t="s">
        <v>2961</v>
      </c>
      <c r="D449" t="s">
        <v>1492</v>
      </c>
      <c r="E449" t="s">
        <v>1495</v>
      </c>
      <c r="F449" t="s">
        <v>1493</v>
      </c>
      <c r="G449" t="s">
        <v>1494</v>
      </c>
      <c r="H449" t="s">
        <v>1498</v>
      </c>
      <c r="I449" t="s">
        <v>722</v>
      </c>
      <c r="J449">
        <v>3322</v>
      </c>
      <c r="K449" t="s">
        <v>725</v>
      </c>
    </row>
    <row r="450" spans="1:11" x14ac:dyDescent="0.35">
      <c r="A450">
        <v>1118028038</v>
      </c>
      <c r="B450" t="s">
        <v>65</v>
      </c>
      <c r="C450" s="150" t="s">
        <v>2961</v>
      </c>
      <c r="D450" t="s">
        <v>1739</v>
      </c>
      <c r="E450" t="s">
        <v>1501</v>
      </c>
      <c r="F450" t="s">
        <v>1493</v>
      </c>
      <c r="G450" t="s">
        <v>1500</v>
      </c>
      <c r="H450" t="s">
        <v>1498</v>
      </c>
      <c r="I450" t="s">
        <v>722</v>
      </c>
      <c r="J450">
        <v>3322</v>
      </c>
      <c r="K450" t="s">
        <v>725</v>
      </c>
    </row>
    <row r="451" spans="1:11" x14ac:dyDescent="0.35">
      <c r="A451">
        <v>1118028038</v>
      </c>
      <c r="B451" t="s">
        <v>65</v>
      </c>
      <c r="C451" s="150" t="s">
        <v>2961</v>
      </c>
      <c r="D451" t="s">
        <v>1932</v>
      </c>
      <c r="E451" t="s">
        <v>1482</v>
      </c>
      <c r="F451" t="s">
        <v>1433</v>
      </c>
      <c r="G451" t="s">
        <v>1481</v>
      </c>
      <c r="H451" t="s">
        <v>1439</v>
      </c>
      <c r="I451" t="s">
        <v>722</v>
      </c>
      <c r="J451">
        <v>3322</v>
      </c>
      <c r="K451" t="s">
        <v>725</v>
      </c>
    </row>
    <row r="452" spans="1:11" x14ac:dyDescent="0.35">
      <c r="A452">
        <v>1118028038</v>
      </c>
      <c r="B452" t="s">
        <v>65</v>
      </c>
      <c r="C452" s="152" t="s">
        <v>2962</v>
      </c>
      <c r="D452" t="s">
        <v>2476</v>
      </c>
      <c r="E452" t="s">
        <v>2477</v>
      </c>
      <c r="F452" t="s">
        <v>1433</v>
      </c>
      <c r="H452" t="s">
        <v>1498</v>
      </c>
      <c r="I452" t="s">
        <v>722</v>
      </c>
      <c r="J452">
        <v>3322</v>
      </c>
      <c r="K452" t="s">
        <v>725</v>
      </c>
    </row>
    <row r="453" spans="1:11" x14ac:dyDescent="0.35">
      <c r="A453">
        <v>1118028038</v>
      </c>
      <c r="B453" t="s">
        <v>65</v>
      </c>
      <c r="C453" s="152" t="s">
        <v>2962</v>
      </c>
      <c r="D453" t="s">
        <v>2476</v>
      </c>
      <c r="E453" t="s">
        <v>2478</v>
      </c>
      <c r="F453" t="s">
        <v>1433</v>
      </c>
      <c r="H453" t="s">
        <v>1498</v>
      </c>
      <c r="I453" t="s">
        <v>722</v>
      </c>
      <c r="J453">
        <v>3322</v>
      </c>
      <c r="K453" t="s">
        <v>725</v>
      </c>
    </row>
    <row r="454" spans="1:11" x14ac:dyDescent="0.35">
      <c r="A454">
        <v>1118028038</v>
      </c>
      <c r="B454" t="s">
        <v>65</v>
      </c>
      <c r="C454" s="152" t="s">
        <v>2962</v>
      </c>
      <c r="D454" t="s">
        <v>2476</v>
      </c>
      <c r="E454" t="s">
        <v>2479</v>
      </c>
      <c r="F454" t="s">
        <v>1917</v>
      </c>
      <c r="H454" t="s">
        <v>1498</v>
      </c>
      <c r="I454" t="s">
        <v>722</v>
      </c>
      <c r="J454">
        <v>3322</v>
      </c>
      <c r="K454" t="s">
        <v>725</v>
      </c>
    </row>
    <row r="455" spans="1:11" x14ac:dyDescent="0.35">
      <c r="A455">
        <v>1118028038</v>
      </c>
      <c r="B455" t="s">
        <v>65</v>
      </c>
      <c r="C455" s="152" t="s">
        <v>2962</v>
      </c>
      <c r="D455" t="s">
        <v>2480</v>
      </c>
      <c r="E455" t="s">
        <v>2419</v>
      </c>
      <c r="F455" t="s">
        <v>1433</v>
      </c>
      <c r="H455" t="s">
        <v>1498</v>
      </c>
      <c r="I455" t="s">
        <v>722</v>
      </c>
      <c r="J455">
        <v>3322</v>
      </c>
      <c r="K455" t="s">
        <v>725</v>
      </c>
    </row>
    <row r="456" spans="1:11" x14ac:dyDescent="0.35">
      <c r="A456">
        <v>1118028038</v>
      </c>
      <c r="B456" t="s">
        <v>65</v>
      </c>
      <c r="C456" s="152" t="s">
        <v>2962</v>
      </c>
      <c r="D456" t="s">
        <v>2480</v>
      </c>
      <c r="E456" t="s">
        <v>2481</v>
      </c>
      <c r="F456" t="s">
        <v>1433</v>
      </c>
      <c r="H456" t="s">
        <v>1498</v>
      </c>
      <c r="I456" t="s">
        <v>722</v>
      </c>
      <c r="J456">
        <v>3322</v>
      </c>
      <c r="K456" t="s">
        <v>725</v>
      </c>
    </row>
    <row r="457" spans="1:11" x14ac:dyDescent="0.35">
      <c r="A457">
        <v>1118028038</v>
      </c>
      <c r="B457" t="s">
        <v>65</v>
      </c>
      <c r="C457" s="152" t="s">
        <v>2962</v>
      </c>
      <c r="D457" t="s">
        <v>2480</v>
      </c>
      <c r="E457" t="s">
        <v>2420</v>
      </c>
      <c r="F457" t="s">
        <v>1433</v>
      </c>
      <c r="H457" t="s">
        <v>1498</v>
      </c>
      <c r="I457" t="s">
        <v>722</v>
      </c>
      <c r="J457">
        <v>3322</v>
      </c>
      <c r="K457" t="s">
        <v>725</v>
      </c>
    </row>
    <row r="458" spans="1:11" x14ac:dyDescent="0.35">
      <c r="A458">
        <v>1118028038</v>
      </c>
      <c r="B458" t="s">
        <v>65</v>
      </c>
      <c r="C458" s="152" t="s">
        <v>2962</v>
      </c>
      <c r="D458" t="s">
        <v>2482</v>
      </c>
      <c r="E458" t="s">
        <v>2388</v>
      </c>
      <c r="F458" t="s">
        <v>1433</v>
      </c>
      <c r="H458" t="s">
        <v>1498</v>
      </c>
      <c r="I458" t="s">
        <v>722</v>
      </c>
      <c r="J458">
        <v>3322</v>
      </c>
      <c r="K458" t="s">
        <v>725</v>
      </c>
    </row>
    <row r="459" spans="1:11" x14ac:dyDescent="0.35">
      <c r="A459">
        <v>1118028038</v>
      </c>
      <c r="B459" t="s">
        <v>65</v>
      </c>
      <c r="C459" s="152" t="s">
        <v>2962</v>
      </c>
      <c r="D459" t="s">
        <v>2482</v>
      </c>
      <c r="E459" t="s">
        <v>1717</v>
      </c>
      <c r="F459" t="s">
        <v>2278</v>
      </c>
      <c r="H459" t="s">
        <v>1439</v>
      </c>
      <c r="I459" t="s">
        <v>722</v>
      </c>
      <c r="J459">
        <v>3322</v>
      </c>
      <c r="K459" t="s">
        <v>725</v>
      </c>
    </row>
    <row r="460" spans="1:11" x14ac:dyDescent="0.35">
      <c r="A460">
        <v>1118028038</v>
      </c>
      <c r="B460" t="s">
        <v>65</v>
      </c>
      <c r="C460" s="152" t="s">
        <v>2962</v>
      </c>
      <c r="D460" t="s">
        <v>2482</v>
      </c>
      <c r="E460" t="s">
        <v>2483</v>
      </c>
      <c r="F460" t="s">
        <v>1433</v>
      </c>
      <c r="H460" t="s">
        <v>1498</v>
      </c>
      <c r="I460" t="s">
        <v>722</v>
      </c>
      <c r="J460">
        <v>3322</v>
      </c>
      <c r="K460" t="s">
        <v>725</v>
      </c>
    </row>
    <row r="461" spans="1:11" x14ac:dyDescent="0.35">
      <c r="A461">
        <v>1118028048</v>
      </c>
      <c r="B461" t="s">
        <v>293</v>
      </c>
      <c r="C461" s="150" t="s">
        <v>2961</v>
      </c>
      <c r="D461" t="s">
        <v>1975</v>
      </c>
      <c r="E461" t="s">
        <v>1976</v>
      </c>
      <c r="F461" t="s">
        <v>1433</v>
      </c>
      <c r="G461" t="s">
        <v>1645</v>
      </c>
      <c r="H461" t="s">
        <v>1439</v>
      </c>
      <c r="I461" t="s">
        <v>844</v>
      </c>
      <c r="J461">
        <v>5223</v>
      </c>
      <c r="K461" t="s">
        <v>679</v>
      </c>
    </row>
    <row r="462" spans="1:11" x14ac:dyDescent="0.35">
      <c r="A462">
        <v>1118028048</v>
      </c>
      <c r="B462" t="s">
        <v>293</v>
      </c>
      <c r="C462" s="150" t="s">
        <v>2961</v>
      </c>
      <c r="D462" t="s">
        <v>1513</v>
      </c>
      <c r="E462" t="s">
        <v>1515</v>
      </c>
      <c r="F462" t="s">
        <v>1493</v>
      </c>
      <c r="G462" t="s">
        <v>1514</v>
      </c>
      <c r="H462" t="s">
        <v>1498</v>
      </c>
      <c r="I462" t="s">
        <v>844</v>
      </c>
      <c r="J462">
        <v>5223</v>
      </c>
      <c r="K462" t="s">
        <v>679</v>
      </c>
    </row>
    <row r="463" spans="1:11" x14ac:dyDescent="0.35">
      <c r="A463">
        <v>1118028048</v>
      </c>
      <c r="B463" t="s">
        <v>293</v>
      </c>
      <c r="C463" s="150" t="s">
        <v>2961</v>
      </c>
      <c r="D463" t="s">
        <v>1539</v>
      </c>
      <c r="E463" t="s">
        <v>1541</v>
      </c>
      <c r="F463" t="s">
        <v>1493</v>
      </c>
      <c r="G463" t="s">
        <v>1540</v>
      </c>
      <c r="H463" t="s">
        <v>1498</v>
      </c>
      <c r="I463" t="s">
        <v>844</v>
      </c>
      <c r="J463">
        <v>5223</v>
      </c>
      <c r="K463" t="s">
        <v>679</v>
      </c>
    </row>
    <row r="464" spans="1:11" x14ac:dyDescent="0.35">
      <c r="A464">
        <v>1118028048</v>
      </c>
      <c r="B464" t="s">
        <v>293</v>
      </c>
      <c r="C464" s="150" t="s">
        <v>2961</v>
      </c>
      <c r="D464" t="s">
        <v>1757</v>
      </c>
      <c r="E464" t="s">
        <v>1753</v>
      </c>
      <c r="F464" t="s">
        <v>1493</v>
      </c>
      <c r="G464" t="s">
        <v>1752</v>
      </c>
      <c r="H464" t="s">
        <v>1498</v>
      </c>
      <c r="I464" t="s">
        <v>844</v>
      </c>
      <c r="J464">
        <v>5223</v>
      </c>
      <c r="K464" t="s">
        <v>679</v>
      </c>
    </row>
    <row r="465" spans="1:11" x14ac:dyDescent="0.35">
      <c r="A465">
        <v>1118028048</v>
      </c>
      <c r="B465" t="s">
        <v>293</v>
      </c>
      <c r="C465" s="150" t="s">
        <v>2961</v>
      </c>
      <c r="D465" t="s">
        <v>1543</v>
      </c>
      <c r="E465" t="s">
        <v>1545</v>
      </c>
      <c r="F465" t="s">
        <v>1493</v>
      </c>
      <c r="G465" t="s">
        <v>1544</v>
      </c>
      <c r="H465" t="s">
        <v>1498</v>
      </c>
      <c r="I465" t="s">
        <v>844</v>
      </c>
      <c r="J465">
        <v>5223</v>
      </c>
      <c r="K465" t="s">
        <v>679</v>
      </c>
    </row>
    <row r="466" spans="1:11" x14ac:dyDescent="0.35">
      <c r="A466">
        <v>1118028048</v>
      </c>
      <c r="B466" t="s">
        <v>293</v>
      </c>
      <c r="C466" s="150" t="s">
        <v>2961</v>
      </c>
      <c r="D466" t="s">
        <v>1547</v>
      </c>
      <c r="E466" t="s">
        <v>1548</v>
      </c>
      <c r="F466" t="s">
        <v>1493</v>
      </c>
      <c r="G466" t="s">
        <v>1544</v>
      </c>
      <c r="H466" t="s">
        <v>1498</v>
      </c>
      <c r="I466" t="s">
        <v>844</v>
      </c>
      <c r="J466">
        <v>5223</v>
      </c>
      <c r="K466" t="s">
        <v>679</v>
      </c>
    </row>
    <row r="467" spans="1:11" x14ac:dyDescent="0.35">
      <c r="A467">
        <v>1118028048</v>
      </c>
      <c r="B467" t="s">
        <v>293</v>
      </c>
      <c r="C467" s="152" t="s">
        <v>2962</v>
      </c>
      <c r="D467" t="s">
        <v>2950</v>
      </c>
      <c r="E467" t="s">
        <v>2951</v>
      </c>
      <c r="F467" t="s">
        <v>1433</v>
      </c>
      <c r="H467" t="s">
        <v>1498</v>
      </c>
      <c r="I467" t="s">
        <v>844</v>
      </c>
      <c r="J467">
        <v>5223</v>
      </c>
      <c r="K467" t="s">
        <v>679</v>
      </c>
    </row>
    <row r="468" spans="1:11" x14ac:dyDescent="0.35">
      <c r="A468">
        <v>1118028048</v>
      </c>
      <c r="B468" t="s">
        <v>293</v>
      </c>
      <c r="C468" s="152" t="s">
        <v>2962</v>
      </c>
      <c r="D468" t="s">
        <v>2953</v>
      </c>
      <c r="E468" t="s">
        <v>2954</v>
      </c>
      <c r="F468" t="s">
        <v>1433</v>
      </c>
      <c r="H468" t="s">
        <v>1498</v>
      </c>
      <c r="I468" t="s">
        <v>844</v>
      </c>
      <c r="J468">
        <v>5223</v>
      </c>
      <c r="K468" t="s">
        <v>679</v>
      </c>
    </row>
    <row r="469" spans="1:11" x14ac:dyDescent="0.35">
      <c r="A469">
        <v>1118028048</v>
      </c>
      <c r="B469" t="s">
        <v>293</v>
      </c>
      <c r="C469" s="152" t="s">
        <v>2962</v>
      </c>
      <c r="D469" t="s">
        <v>2953</v>
      </c>
      <c r="E469" t="s">
        <v>2955</v>
      </c>
      <c r="F469" t="s">
        <v>1433</v>
      </c>
      <c r="H469" t="s">
        <v>1498</v>
      </c>
      <c r="I469" t="s">
        <v>844</v>
      </c>
      <c r="J469">
        <v>5223</v>
      </c>
      <c r="K469" t="s">
        <v>679</v>
      </c>
    </row>
    <row r="470" spans="1:11" x14ac:dyDescent="0.35">
      <c r="A470">
        <v>1118028048</v>
      </c>
      <c r="B470" t="s">
        <v>293</v>
      </c>
      <c r="C470" s="152" t="s">
        <v>2962</v>
      </c>
      <c r="D470" t="s">
        <v>2956</v>
      </c>
      <c r="E470" t="s">
        <v>2957</v>
      </c>
      <c r="F470" t="s">
        <v>1922</v>
      </c>
      <c r="H470" t="s">
        <v>1498</v>
      </c>
      <c r="I470" t="s">
        <v>844</v>
      </c>
      <c r="J470">
        <v>5223</v>
      </c>
      <c r="K470" t="s">
        <v>679</v>
      </c>
    </row>
    <row r="471" spans="1:11" x14ac:dyDescent="0.35">
      <c r="A471">
        <v>1118028048</v>
      </c>
      <c r="B471" t="s">
        <v>293</v>
      </c>
      <c r="C471" s="152" t="s">
        <v>2962</v>
      </c>
      <c r="D471" t="s">
        <v>2956</v>
      </c>
      <c r="E471" t="s">
        <v>2958</v>
      </c>
      <c r="F471" t="s">
        <v>1922</v>
      </c>
      <c r="H471" t="s">
        <v>1498</v>
      </c>
      <c r="I471" t="s">
        <v>844</v>
      </c>
      <c r="J471">
        <v>5223</v>
      </c>
      <c r="K471" t="s">
        <v>679</v>
      </c>
    </row>
    <row r="472" spans="1:11" x14ac:dyDescent="0.35">
      <c r="A472">
        <v>1118028201</v>
      </c>
      <c r="B472" t="s">
        <v>1933</v>
      </c>
      <c r="C472" s="150" t="s">
        <v>2961</v>
      </c>
      <c r="D472" t="s">
        <v>1934</v>
      </c>
      <c r="E472" t="s">
        <v>1935</v>
      </c>
      <c r="F472" t="s">
        <v>1917</v>
      </c>
      <c r="G472" t="s">
        <v>1583</v>
      </c>
      <c r="H472" t="s">
        <v>1498</v>
      </c>
      <c r="I472" t="s">
        <v>1994</v>
      </c>
      <c r="J472">
        <v>8160</v>
      </c>
      <c r="K472" t="s">
        <v>1995</v>
      </c>
    </row>
    <row r="473" spans="1:11" x14ac:dyDescent="0.35">
      <c r="A473">
        <v>1118028201</v>
      </c>
      <c r="B473" t="s">
        <v>1933</v>
      </c>
      <c r="C473" s="152" t="s">
        <v>2962</v>
      </c>
      <c r="D473" t="s">
        <v>2485</v>
      </c>
      <c r="E473" t="s">
        <v>2486</v>
      </c>
      <c r="F473" t="s">
        <v>1433</v>
      </c>
      <c r="H473" t="s">
        <v>1498</v>
      </c>
      <c r="I473" t="s">
        <v>1994</v>
      </c>
      <c r="J473">
        <v>8160</v>
      </c>
      <c r="K473" t="s">
        <v>1995</v>
      </c>
    </row>
    <row r="474" spans="1:11" x14ac:dyDescent="0.35">
      <c r="A474">
        <v>1118028201</v>
      </c>
      <c r="B474" t="s">
        <v>1933</v>
      </c>
      <c r="C474" s="152" t="s">
        <v>2962</v>
      </c>
      <c r="D474" t="s">
        <v>2485</v>
      </c>
      <c r="E474" t="s">
        <v>2488</v>
      </c>
      <c r="F474" t="s">
        <v>1433</v>
      </c>
      <c r="H474" t="s">
        <v>1498</v>
      </c>
      <c r="I474" t="s">
        <v>1994</v>
      </c>
      <c r="J474">
        <v>8160</v>
      </c>
      <c r="K474" t="s">
        <v>1995</v>
      </c>
    </row>
    <row r="475" spans="1:11" x14ac:dyDescent="0.35">
      <c r="A475">
        <v>1118028201</v>
      </c>
      <c r="B475" t="s">
        <v>1933</v>
      </c>
      <c r="C475" s="152" t="s">
        <v>2962</v>
      </c>
      <c r="D475" t="s">
        <v>2489</v>
      </c>
      <c r="E475" t="s">
        <v>2490</v>
      </c>
      <c r="F475" t="s">
        <v>1433</v>
      </c>
      <c r="H475" t="s">
        <v>1498</v>
      </c>
      <c r="I475" t="s">
        <v>1994</v>
      </c>
      <c r="J475">
        <v>8160</v>
      </c>
      <c r="K475" t="s">
        <v>1995</v>
      </c>
    </row>
    <row r="476" spans="1:11" x14ac:dyDescent="0.35">
      <c r="A476">
        <v>1118028201</v>
      </c>
      <c r="B476" t="s">
        <v>1933</v>
      </c>
      <c r="C476" s="152" t="s">
        <v>2962</v>
      </c>
      <c r="D476" t="s">
        <v>2489</v>
      </c>
      <c r="E476" t="s">
        <v>2491</v>
      </c>
      <c r="F476" t="s">
        <v>1433</v>
      </c>
      <c r="H476" t="s">
        <v>1498</v>
      </c>
      <c r="I476" t="s">
        <v>1994</v>
      </c>
      <c r="J476">
        <v>8160</v>
      </c>
      <c r="K476" t="s">
        <v>1995</v>
      </c>
    </row>
    <row r="477" spans="1:11" x14ac:dyDescent="0.35">
      <c r="A477">
        <v>1118028201</v>
      </c>
      <c r="B477" t="s">
        <v>1933</v>
      </c>
      <c r="C477" s="152" t="s">
        <v>2962</v>
      </c>
      <c r="D477" t="s">
        <v>2489</v>
      </c>
      <c r="E477" t="s">
        <v>2492</v>
      </c>
      <c r="F477" t="s">
        <v>1433</v>
      </c>
      <c r="H477" t="s">
        <v>1498</v>
      </c>
      <c r="I477" t="s">
        <v>1994</v>
      </c>
      <c r="J477">
        <v>8160</v>
      </c>
      <c r="K477" t="s">
        <v>1995</v>
      </c>
    </row>
    <row r="478" spans="1:11" x14ac:dyDescent="0.35">
      <c r="A478">
        <v>1118028201</v>
      </c>
      <c r="B478" t="s">
        <v>1933</v>
      </c>
      <c r="C478" s="152" t="s">
        <v>2962</v>
      </c>
      <c r="D478" t="s">
        <v>2493</v>
      </c>
      <c r="E478" t="s">
        <v>2494</v>
      </c>
      <c r="F478" t="s">
        <v>1433</v>
      </c>
      <c r="H478" t="s">
        <v>1498</v>
      </c>
      <c r="I478" t="s">
        <v>1994</v>
      </c>
      <c r="J478">
        <v>8160</v>
      </c>
      <c r="K478" t="s">
        <v>1995</v>
      </c>
    </row>
    <row r="479" spans="1:11" x14ac:dyDescent="0.35">
      <c r="A479">
        <v>1118028201</v>
      </c>
      <c r="B479" t="s">
        <v>1933</v>
      </c>
      <c r="C479" s="152" t="s">
        <v>2962</v>
      </c>
      <c r="D479" t="s">
        <v>2493</v>
      </c>
      <c r="E479" t="s">
        <v>2495</v>
      </c>
      <c r="F479" t="s">
        <v>1433</v>
      </c>
      <c r="H479" t="s">
        <v>1498</v>
      </c>
      <c r="I479" t="s">
        <v>1994</v>
      </c>
      <c r="J479">
        <v>8160</v>
      </c>
      <c r="K479" t="s">
        <v>1995</v>
      </c>
    </row>
    <row r="480" spans="1:11" x14ac:dyDescent="0.35">
      <c r="A480">
        <v>1118028201</v>
      </c>
      <c r="B480" t="s">
        <v>1933</v>
      </c>
      <c r="C480" s="152" t="s">
        <v>2962</v>
      </c>
      <c r="D480" t="s">
        <v>2493</v>
      </c>
      <c r="E480" t="s">
        <v>2496</v>
      </c>
      <c r="F480" t="s">
        <v>1433</v>
      </c>
      <c r="H480" t="s">
        <v>1498</v>
      </c>
      <c r="I480" t="s">
        <v>1994</v>
      </c>
      <c r="J480">
        <v>8160</v>
      </c>
      <c r="K480" t="s">
        <v>1995</v>
      </c>
    </row>
    <row r="481" spans="1:11" x14ac:dyDescent="0.35">
      <c r="A481">
        <v>1118028201</v>
      </c>
      <c r="B481" t="s">
        <v>1933</v>
      </c>
      <c r="C481" s="152" t="s">
        <v>2962</v>
      </c>
      <c r="D481" t="s">
        <v>2497</v>
      </c>
      <c r="E481" t="s">
        <v>2498</v>
      </c>
      <c r="F481" t="s">
        <v>1433</v>
      </c>
      <c r="H481" t="s">
        <v>1498</v>
      </c>
      <c r="I481" t="s">
        <v>1994</v>
      </c>
      <c r="J481">
        <v>8160</v>
      </c>
      <c r="K481" t="s">
        <v>1995</v>
      </c>
    </row>
    <row r="482" spans="1:11" x14ac:dyDescent="0.35">
      <c r="A482">
        <v>1118028201</v>
      </c>
      <c r="B482" t="s">
        <v>1933</v>
      </c>
      <c r="C482" s="152" t="s">
        <v>2962</v>
      </c>
      <c r="D482" t="s">
        <v>2497</v>
      </c>
      <c r="E482" t="s">
        <v>2499</v>
      </c>
      <c r="F482" t="s">
        <v>1433</v>
      </c>
      <c r="H482" t="s">
        <v>1498</v>
      </c>
      <c r="I482" t="s">
        <v>1994</v>
      </c>
      <c r="J482">
        <v>8160</v>
      </c>
      <c r="K482" t="s">
        <v>1995</v>
      </c>
    </row>
    <row r="483" spans="1:11" x14ac:dyDescent="0.35">
      <c r="A483">
        <v>1118028201</v>
      </c>
      <c r="B483" t="s">
        <v>1933</v>
      </c>
      <c r="C483" s="152" t="s">
        <v>2962</v>
      </c>
      <c r="D483" t="s">
        <v>2500</v>
      </c>
      <c r="E483" t="s">
        <v>2501</v>
      </c>
      <c r="F483" t="s">
        <v>1433</v>
      </c>
      <c r="H483" t="s">
        <v>1498</v>
      </c>
      <c r="I483" t="s">
        <v>1994</v>
      </c>
      <c r="J483">
        <v>8160</v>
      </c>
      <c r="K483" t="s">
        <v>1995</v>
      </c>
    </row>
    <row r="484" spans="1:11" x14ac:dyDescent="0.35">
      <c r="A484">
        <v>1118028201</v>
      </c>
      <c r="B484" t="s">
        <v>1933</v>
      </c>
      <c r="C484" s="152" t="s">
        <v>2962</v>
      </c>
      <c r="D484" t="s">
        <v>2500</v>
      </c>
      <c r="E484" t="s">
        <v>2502</v>
      </c>
      <c r="F484" t="s">
        <v>1433</v>
      </c>
      <c r="H484" t="s">
        <v>1498</v>
      </c>
      <c r="I484" t="s">
        <v>1994</v>
      </c>
      <c r="J484">
        <v>8160</v>
      </c>
      <c r="K484" t="s">
        <v>1995</v>
      </c>
    </row>
    <row r="485" spans="1:11" x14ac:dyDescent="0.35">
      <c r="A485">
        <v>1118028376</v>
      </c>
      <c r="B485" t="s">
        <v>77</v>
      </c>
      <c r="C485" s="150" t="s">
        <v>2961</v>
      </c>
      <c r="D485" t="s">
        <v>1936</v>
      </c>
      <c r="E485" t="s">
        <v>1937</v>
      </c>
      <c r="F485" t="s">
        <v>1433</v>
      </c>
      <c r="G485" t="s">
        <v>1434</v>
      </c>
      <c r="H485" t="s">
        <v>1439</v>
      </c>
      <c r="I485" t="s">
        <v>1996</v>
      </c>
      <c r="J485">
        <v>4312</v>
      </c>
      <c r="K485" t="s">
        <v>735</v>
      </c>
    </row>
    <row r="486" spans="1:11" x14ac:dyDescent="0.35">
      <c r="A486">
        <v>1118028376</v>
      </c>
      <c r="B486" t="s">
        <v>77</v>
      </c>
      <c r="C486" s="150" t="s">
        <v>2961</v>
      </c>
      <c r="D486" t="s">
        <v>1931</v>
      </c>
      <c r="E486" t="s">
        <v>1443</v>
      </c>
      <c r="F486" t="s">
        <v>1433</v>
      </c>
      <c r="G486" t="s">
        <v>1434</v>
      </c>
      <c r="H486" t="s">
        <v>1439</v>
      </c>
      <c r="I486" t="s">
        <v>1996</v>
      </c>
      <c r="J486">
        <v>4312</v>
      </c>
      <c r="K486" t="s">
        <v>735</v>
      </c>
    </row>
    <row r="487" spans="1:11" x14ac:dyDescent="0.35">
      <c r="A487">
        <v>1118028376</v>
      </c>
      <c r="B487" t="s">
        <v>77</v>
      </c>
      <c r="C487" s="152" t="s">
        <v>2962</v>
      </c>
      <c r="D487" t="s">
        <v>2503</v>
      </c>
      <c r="E487" t="s">
        <v>2504</v>
      </c>
      <c r="F487" t="s">
        <v>1433</v>
      </c>
      <c r="H487" t="s">
        <v>1498</v>
      </c>
      <c r="I487" t="s">
        <v>1996</v>
      </c>
      <c r="J487">
        <v>4312</v>
      </c>
      <c r="K487" t="s">
        <v>735</v>
      </c>
    </row>
    <row r="488" spans="1:11" x14ac:dyDescent="0.35">
      <c r="A488">
        <v>1118028376</v>
      </c>
      <c r="B488" t="s">
        <v>77</v>
      </c>
      <c r="C488" s="152" t="s">
        <v>2962</v>
      </c>
      <c r="D488" t="s">
        <v>2503</v>
      </c>
      <c r="E488" t="s">
        <v>2505</v>
      </c>
      <c r="F488" t="s">
        <v>1433</v>
      </c>
      <c r="H488" t="s">
        <v>1498</v>
      </c>
      <c r="I488" t="s">
        <v>1996</v>
      </c>
      <c r="J488">
        <v>4312</v>
      </c>
      <c r="K488" t="s">
        <v>735</v>
      </c>
    </row>
    <row r="489" spans="1:11" x14ac:dyDescent="0.35">
      <c r="A489">
        <v>1118028376</v>
      </c>
      <c r="B489" t="s">
        <v>77</v>
      </c>
      <c r="C489" s="152" t="s">
        <v>2962</v>
      </c>
      <c r="D489" t="s">
        <v>2503</v>
      </c>
      <c r="E489" t="s">
        <v>2506</v>
      </c>
      <c r="F489" t="s">
        <v>1433</v>
      </c>
      <c r="H489" t="s">
        <v>1498</v>
      </c>
      <c r="I489" t="s">
        <v>1996</v>
      </c>
      <c r="J489">
        <v>4312</v>
      </c>
      <c r="K489" t="s">
        <v>735</v>
      </c>
    </row>
    <row r="490" spans="1:11" x14ac:dyDescent="0.35">
      <c r="A490">
        <v>1118028376</v>
      </c>
      <c r="B490" t="s">
        <v>77</v>
      </c>
      <c r="C490" s="152" t="s">
        <v>2962</v>
      </c>
      <c r="D490" t="s">
        <v>2507</v>
      </c>
      <c r="E490" t="s">
        <v>1495</v>
      </c>
      <c r="F490" t="s">
        <v>1493</v>
      </c>
      <c r="H490" t="s">
        <v>1498</v>
      </c>
      <c r="I490" t="s">
        <v>1996</v>
      </c>
      <c r="J490">
        <v>4312</v>
      </c>
      <c r="K490" t="s">
        <v>735</v>
      </c>
    </row>
    <row r="491" spans="1:11" x14ac:dyDescent="0.35">
      <c r="A491">
        <v>1118028376</v>
      </c>
      <c r="B491" t="s">
        <v>77</v>
      </c>
      <c r="C491" s="152" t="s">
        <v>2962</v>
      </c>
      <c r="D491" t="s">
        <v>2507</v>
      </c>
      <c r="E491" t="s">
        <v>2508</v>
      </c>
      <c r="F491" t="s">
        <v>1493</v>
      </c>
      <c r="H491" t="s">
        <v>1498</v>
      </c>
      <c r="I491" t="s">
        <v>1996</v>
      </c>
      <c r="J491">
        <v>4312</v>
      </c>
      <c r="K491" t="s">
        <v>735</v>
      </c>
    </row>
    <row r="492" spans="1:11" x14ac:dyDescent="0.35">
      <c r="A492">
        <v>1118028376</v>
      </c>
      <c r="B492" t="s">
        <v>77</v>
      </c>
      <c r="C492" s="152" t="s">
        <v>2962</v>
      </c>
      <c r="D492" t="s">
        <v>2507</v>
      </c>
      <c r="E492" t="s">
        <v>2509</v>
      </c>
      <c r="F492" t="s">
        <v>1917</v>
      </c>
      <c r="H492" t="s">
        <v>1498</v>
      </c>
      <c r="I492" t="s">
        <v>1996</v>
      </c>
      <c r="J492">
        <v>4312</v>
      </c>
      <c r="K492" t="s">
        <v>735</v>
      </c>
    </row>
    <row r="493" spans="1:11" x14ac:dyDescent="0.35">
      <c r="A493">
        <v>1118028657</v>
      </c>
      <c r="B493" t="s">
        <v>445</v>
      </c>
      <c r="C493" s="152" t="s">
        <v>2962</v>
      </c>
      <c r="D493" t="s">
        <v>448</v>
      </c>
      <c r="E493" t="s">
        <v>1530</v>
      </c>
      <c r="F493" t="s">
        <v>1922</v>
      </c>
      <c r="H493" t="s">
        <v>1498</v>
      </c>
      <c r="I493" t="s">
        <v>445</v>
      </c>
      <c r="J493">
        <v>4226</v>
      </c>
      <c r="K493" t="s">
        <v>739</v>
      </c>
    </row>
    <row r="494" spans="1:11" x14ac:dyDescent="0.35">
      <c r="A494">
        <v>1118028657</v>
      </c>
      <c r="B494" t="s">
        <v>445</v>
      </c>
      <c r="C494" s="152" t="s">
        <v>2962</v>
      </c>
      <c r="D494" t="s">
        <v>448</v>
      </c>
      <c r="E494" t="s">
        <v>2510</v>
      </c>
      <c r="F494" t="s">
        <v>1922</v>
      </c>
      <c r="H494" t="s">
        <v>1498</v>
      </c>
      <c r="I494" t="s">
        <v>445</v>
      </c>
      <c r="J494">
        <v>4226</v>
      </c>
      <c r="K494" t="s">
        <v>739</v>
      </c>
    </row>
    <row r="495" spans="1:11" x14ac:dyDescent="0.35">
      <c r="A495">
        <v>1118028657</v>
      </c>
      <c r="B495" t="s">
        <v>445</v>
      </c>
      <c r="C495" s="152" t="s">
        <v>2962</v>
      </c>
      <c r="D495" t="s">
        <v>448</v>
      </c>
      <c r="E495" t="s">
        <v>2511</v>
      </c>
      <c r="F495" t="s">
        <v>1493</v>
      </c>
      <c r="H495" t="s">
        <v>1498</v>
      </c>
      <c r="I495" t="s">
        <v>445</v>
      </c>
      <c r="J495">
        <v>4226</v>
      </c>
      <c r="K495" t="s">
        <v>739</v>
      </c>
    </row>
    <row r="496" spans="1:11" x14ac:dyDescent="0.35">
      <c r="A496">
        <v>1118028657</v>
      </c>
      <c r="B496" t="s">
        <v>445</v>
      </c>
      <c r="C496" s="152" t="s">
        <v>2962</v>
      </c>
      <c r="D496" t="s">
        <v>2512</v>
      </c>
      <c r="E496" t="s">
        <v>2513</v>
      </c>
      <c r="F496" t="s">
        <v>1433</v>
      </c>
      <c r="H496" t="s">
        <v>1498</v>
      </c>
      <c r="I496" t="s">
        <v>445</v>
      </c>
      <c r="J496">
        <v>4226</v>
      </c>
      <c r="K496" t="s">
        <v>739</v>
      </c>
    </row>
    <row r="497" spans="1:11" x14ac:dyDescent="0.35">
      <c r="A497">
        <v>1118028657</v>
      </c>
      <c r="B497" t="s">
        <v>445</v>
      </c>
      <c r="C497" s="152" t="s">
        <v>2962</v>
      </c>
      <c r="D497" t="s">
        <v>2512</v>
      </c>
      <c r="E497" t="s">
        <v>2514</v>
      </c>
      <c r="F497" t="s">
        <v>1433</v>
      </c>
      <c r="H497" t="s">
        <v>1498</v>
      </c>
      <c r="I497" t="s">
        <v>445</v>
      </c>
      <c r="J497">
        <v>4226</v>
      </c>
      <c r="K497" t="s">
        <v>739</v>
      </c>
    </row>
    <row r="498" spans="1:11" x14ac:dyDescent="0.35">
      <c r="A498">
        <v>1118028657</v>
      </c>
      <c r="B498" t="s">
        <v>445</v>
      </c>
      <c r="C498" s="152" t="s">
        <v>2962</v>
      </c>
      <c r="D498" t="s">
        <v>2512</v>
      </c>
      <c r="E498" t="s">
        <v>1443</v>
      </c>
      <c r="F498" t="s">
        <v>2278</v>
      </c>
      <c r="H498" t="s">
        <v>1439</v>
      </c>
      <c r="I498" t="s">
        <v>445</v>
      </c>
      <c r="J498">
        <v>4226</v>
      </c>
      <c r="K498" t="s">
        <v>739</v>
      </c>
    </row>
    <row r="499" spans="1:11" x14ac:dyDescent="0.35">
      <c r="A499">
        <v>1118028657</v>
      </c>
      <c r="B499" t="s">
        <v>445</v>
      </c>
      <c r="C499" s="152" t="s">
        <v>2962</v>
      </c>
      <c r="D499" t="s">
        <v>2515</v>
      </c>
      <c r="E499" t="s">
        <v>2516</v>
      </c>
      <c r="F499" t="s">
        <v>1433</v>
      </c>
      <c r="H499" t="s">
        <v>1498</v>
      </c>
      <c r="I499" t="s">
        <v>445</v>
      </c>
      <c r="J499">
        <v>4226</v>
      </c>
      <c r="K499" t="s">
        <v>739</v>
      </c>
    </row>
    <row r="500" spans="1:11" x14ac:dyDescent="0.35">
      <c r="A500">
        <v>1118028657</v>
      </c>
      <c r="B500" t="s">
        <v>445</v>
      </c>
      <c r="C500" s="152" t="s">
        <v>2962</v>
      </c>
      <c r="D500" t="s">
        <v>2515</v>
      </c>
      <c r="E500" t="s">
        <v>2517</v>
      </c>
      <c r="F500" t="s">
        <v>1433</v>
      </c>
      <c r="H500" t="s">
        <v>1498</v>
      </c>
      <c r="I500" t="s">
        <v>445</v>
      </c>
      <c r="J500">
        <v>4226</v>
      </c>
      <c r="K500" t="s">
        <v>739</v>
      </c>
    </row>
    <row r="501" spans="1:11" x14ac:dyDescent="0.35">
      <c r="A501">
        <v>1118028657</v>
      </c>
      <c r="B501" t="s">
        <v>445</v>
      </c>
      <c r="C501" s="152" t="s">
        <v>2962</v>
      </c>
      <c r="D501" t="s">
        <v>2515</v>
      </c>
      <c r="E501" t="s">
        <v>2518</v>
      </c>
      <c r="F501" t="s">
        <v>1433</v>
      </c>
      <c r="H501" t="s">
        <v>1498</v>
      </c>
      <c r="I501" t="s">
        <v>445</v>
      </c>
      <c r="J501">
        <v>4226</v>
      </c>
      <c r="K501" t="s">
        <v>739</v>
      </c>
    </row>
    <row r="502" spans="1:11" x14ac:dyDescent="0.35">
      <c r="A502">
        <v>1118028681</v>
      </c>
      <c r="B502" t="s">
        <v>88</v>
      </c>
      <c r="C502" s="150" t="s">
        <v>2961</v>
      </c>
      <c r="D502" t="s">
        <v>1938</v>
      </c>
      <c r="E502" t="s">
        <v>1443</v>
      </c>
      <c r="F502" t="s">
        <v>1433</v>
      </c>
      <c r="G502" t="s">
        <v>1434</v>
      </c>
      <c r="H502" t="s">
        <v>1439</v>
      </c>
      <c r="I502" t="s">
        <v>741</v>
      </c>
      <c r="J502">
        <v>4110</v>
      </c>
      <c r="K502" t="s">
        <v>744</v>
      </c>
    </row>
    <row r="503" spans="1:11" x14ac:dyDescent="0.35">
      <c r="A503">
        <v>1118028681</v>
      </c>
      <c r="B503" t="s">
        <v>88</v>
      </c>
      <c r="C503" s="152" t="s">
        <v>2962</v>
      </c>
      <c r="D503" t="s">
        <v>2520</v>
      </c>
      <c r="E503" t="s">
        <v>2521</v>
      </c>
      <c r="F503" t="s">
        <v>1433</v>
      </c>
      <c r="H503" t="s">
        <v>1498</v>
      </c>
      <c r="I503" t="s">
        <v>741</v>
      </c>
      <c r="J503">
        <v>4110</v>
      </c>
      <c r="K503" t="s">
        <v>744</v>
      </c>
    </row>
    <row r="504" spans="1:11" x14ac:dyDescent="0.35">
      <c r="A504">
        <v>1118028681</v>
      </c>
      <c r="B504" t="s">
        <v>88</v>
      </c>
      <c r="C504" s="152" t="s">
        <v>2962</v>
      </c>
      <c r="D504" t="s">
        <v>2520</v>
      </c>
      <c r="E504" t="s">
        <v>2522</v>
      </c>
      <c r="F504" t="s">
        <v>2278</v>
      </c>
      <c r="H504" t="s">
        <v>1439</v>
      </c>
      <c r="I504" t="s">
        <v>741</v>
      </c>
      <c r="J504">
        <v>4110</v>
      </c>
      <c r="K504" t="s">
        <v>744</v>
      </c>
    </row>
    <row r="505" spans="1:11" x14ac:dyDescent="0.35">
      <c r="A505">
        <v>1118028681</v>
      </c>
      <c r="B505" t="s">
        <v>88</v>
      </c>
      <c r="C505" s="152" t="s">
        <v>2962</v>
      </c>
      <c r="D505" t="s">
        <v>2520</v>
      </c>
      <c r="E505" t="s">
        <v>2523</v>
      </c>
      <c r="F505" t="s">
        <v>1433</v>
      </c>
      <c r="H505" t="s">
        <v>1498</v>
      </c>
      <c r="I505" t="s">
        <v>741</v>
      </c>
      <c r="J505">
        <v>4110</v>
      </c>
      <c r="K505" t="s">
        <v>744</v>
      </c>
    </row>
    <row r="506" spans="1:11" x14ac:dyDescent="0.35">
      <c r="A506">
        <v>1118028681</v>
      </c>
      <c r="B506" t="s">
        <v>88</v>
      </c>
      <c r="C506" s="152" t="s">
        <v>2962</v>
      </c>
      <c r="D506" t="s">
        <v>2524</v>
      </c>
      <c r="E506" t="s">
        <v>2525</v>
      </c>
      <c r="F506" t="s">
        <v>1433</v>
      </c>
      <c r="H506" t="s">
        <v>1498</v>
      </c>
      <c r="I506" t="s">
        <v>741</v>
      </c>
      <c r="J506">
        <v>4110</v>
      </c>
      <c r="K506" t="s">
        <v>744</v>
      </c>
    </row>
    <row r="507" spans="1:11" x14ac:dyDescent="0.35">
      <c r="A507">
        <v>1118028681</v>
      </c>
      <c r="B507" t="s">
        <v>88</v>
      </c>
      <c r="C507" s="152" t="s">
        <v>2962</v>
      </c>
      <c r="D507" t="s">
        <v>2524</v>
      </c>
      <c r="E507" t="s">
        <v>2526</v>
      </c>
      <c r="F507" t="s">
        <v>1433</v>
      </c>
      <c r="H507" t="s">
        <v>1498</v>
      </c>
      <c r="I507" t="s">
        <v>741</v>
      </c>
      <c r="J507">
        <v>4110</v>
      </c>
      <c r="K507" t="s">
        <v>744</v>
      </c>
    </row>
    <row r="508" spans="1:11" x14ac:dyDescent="0.35">
      <c r="A508">
        <v>1118028681</v>
      </c>
      <c r="B508" t="s">
        <v>88</v>
      </c>
      <c r="C508" s="152" t="s">
        <v>2962</v>
      </c>
      <c r="D508" t="s">
        <v>2527</v>
      </c>
      <c r="E508" t="s">
        <v>1695</v>
      </c>
      <c r="F508" t="s">
        <v>2278</v>
      </c>
      <c r="H508" t="s">
        <v>1439</v>
      </c>
      <c r="I508" t="s">
        <v>741</v>
      </c>
      <c r="J508">
        <v>4110</v>
      </c>
      <c r="K508" t="s">
        <v>744</v>
      </c>
    </row>
    <row r="509" spans="1:11" x14ac:dyDescent="0.35">
      <c r="A509">
        <v>1118028681</v>
      </c>
      <c r="B509" t="s">
        <v>88</v>
      </c>
      <c r="C509" s="152" t="s">
        <v>2962</v>
      </c>
      <c r="D509" t="s">
        <v>2527</v>
      </c>
      <c r="E509" t="s">
        <v>2528</v>
      </c>
      <c r="F509" t="s">
        <v>2278</v>
      </c>
      <c r="H509" t="s">
        <v>1439</v>
      </c>
      <c r="I509" t="s">
        <v>741</v>
      </c>
      <c r="J509">
        <v>4110</v>
      </c>
      <c r="K509" t="s">
        <v>744</v>
      </c>
    </row>
    <row r="510" spans="1:11" x14ac:dyDescent="0.35">
      <c r="A510">
        <v>1118028681</v>
      </c>
      <c r="B510" t="s">
        <v>88</v>
      </c>
      <c r="C510" s="152" t="s">
        <v>2962</v>
      </c>
      <c r="D510" t="s">
        <v>2529</v>
      </c>
      <c r="E510" t="s">
        <v>2530</v>
      </c>
      <c r="F510" t="s">
        <v>1433</v>
      </c>
      <c r="H510" t="s">
        <v>1498</v>
      </c>
      <c r="I510" t="s">
        <v>741</v>
      </c>
      <c r="J510">
        <v>4110</v>
      </c>
      <c r="K510" t="s">
        <v>744</v>
      </c>
    </row>
    <row r="511" spans="1:11" x14ac:dyDescent="0.35">
      <c r="A511">
        <v>1118028681</v>
      </c>
      <c r="B511" t="s">
        <v>88</v>
      </c>
      <c r="C511" s="152" t="s">
        <v>2962</v>
      </c>
      <c r="D511" t="s">
        <v>2529</v>
      </c>
      <c r="E511" t="s">
        <v>2531</v>
      </c>
      <c r="F511" t="s">
        <v>1433</v>
      </c>
      <c r="H511" t="s">
        <v>1498</v>
      </c>
      <c r="I511" t="s">
        <v>741</v>
      </c>
      <c r="J511">
        <v>4110</v>
      </c>
      <c r="K511" t="s">
        <v>744</v>
      </c>
    </row>
    <row r="512" spans="1:11" x14ac:dyDescent="0.35">
      <c r="A512">
        <v>1118028681</v>
      </c>
      <c r="B512" t="s">
        <v>88</v>
      </c>
      <c r="C512" s="152" t="s">
        <v>2962</v>
      </c>
      <c r="D512" t="s">
        <v>2529</v>
      </c>
      <c r="E512" t="s">
        <v>2532</v>
      </c>
      <c r="F512" t="s">
        <v>1433</v>
      </c>
      <c r="H512" t="s">
        <v>1498</v>
      </c>
      <c r="I512" t="s">
        <v>741</v>
      </c>
      <c r="J512">
        <v>4110</v>
      </c>
      <c r="K512" t="s">
        <v>744</v>
      </c>
    </row>
    <row r="513" spans="1:11" x14ac:dyDescent="0.35">
      <c r="A513">
        <v>1118028681</v>
      </c>
      <c r="B513" t="s">
        <v>88</v>
      </c>
      <c r="C513" s="152" t="s">
        <v>2962</v>
      </c>
      <c r="D513" t="s">
        <v>2533</v>
      </c>
      <c r="E513" t="s">
        <v>2534</v>
      </c>
      <c r="F513" t="s">
        <v>1433</v>
      </c>
      <c r="H513" t="s">
        <v>1498</v>
      </c>
      <c r="I513" t="s">
        <v>741</v>
      </c>
      <c r="J513">
        <v>4110</v>
      </c>
      <c r="K513" t="s">
        <v>744</v>
      </c>
    </row>
    <row r="514" spans="1:11" x14ac:dyDescent="0.35">
      <c r="A514">
        <v>1118028681</v>
      </c>
      <c r="B514" t="s">
        <v>88</v>
      </c>
      <c r="C514" s="152" t="s">
        <v>2962</v>
      </c>
      <c r="D514" t="s">
        <v>2533</v>
      </c>
      <c r="E514" t="s">
        <v>2535</v>
      </c>
      <c r="F514" t="s">
        <v>1433</v>
      </c>
      <c r="H514" t="s">
        <v>1498</v>
      </c>
      <c r="I514" t="s">
        <v>741</v>
      </c>
      <c r="J514">
        <v>4110</v>
      </c>
      <c r="K514" t="s">
        <v>744</v>
      </c>
    </row>
    <row r="515" spans="1:11" x14ac:dyDescent="0.35">
      <c r="A515">
        <v>1118028681</v>
      </c>
      <c r="B515" t="s">
        <v>88</v>
      </c>
      <c r="C515" s="152" t="s">
        <v>2962</v>
      </c>
      <c r="D515" t="s">
        <v>2536</v>
      </c>
      <c r="E515" t="s">
        <v>2537</v>
      </c>
      <c r="F515" t="s">
        <v>1433</v>
      </c>
      <c r="H515" t="s">
        <v>1498</v>
      </c>
      <c r="I515" t="s">
        <v>741</v>
      </c>
      <c r="J515">
        <v>4110</v>
      </c>
      <c r="K515" t="s">
        <v>744</v>
      </c>
    </row>
    <row r="516" spans="1:11" x14ac:dyDescent="0.35">
      <c r="A516">
        <v>1118028681</v>
      </c>
      <c r="B516" t="s">
        <v>88</v>
      </c>
      <c r="C516" s="152" t="s">
        <v>2962</v>
      </c>
      <c r="D516" t="s">
        <v>2536</v>
      </c>
      <c r="E516" t="s">
        <v>2538</v>
      </c>
      <c r="F516" t="s">
        <v>1433</v>
      </c>
      <c r="H516" t="s">
        <v>1498</v>
      </c>
      <c r="I516" t="s">
        <v>741</v>
      </c>
      <c r="J516">
        <v>4110</v>
      </c>
      <c r="K516" t="s">
        <v>744</v>
      </c>
    </row>
    <row r="517" spans="1:11" x14ac:dyDescent="0.35">
      <c r="A517">
        <v>1118028681</v>
      </c>
      <c r="B517" t="s">
        <v>88</v>
      </c>
      <c r="C517" s="152" t="s">
        <v>2962</v>
      </c>
      <c r="D517" t="s">
        <v>2536</v>
      </c>
      <c r="E517" t="s">
        <v>2539</v>
      </c>
      <c r="F517" t="s">
        <v>2278</v>
      </c>
      <c r="H517" t="s">
        <v>1439</v>
      </c>
      <c r="I517" t="s">
        <v>741</v>
      </c>
      <c r="J517">
        <v>4110</v>
      </c>
      <c r="K517" t="s">
        <v>744</v>
      </c>
    </row>
    <row r="518" spans="1:11" x14ac:dyDescent="0.35">
      <c r="A518">
        <v>1118028777</v>
      </c>
      <c r="B518" t="s">
        <v>281</v>
      </c>
      <c r="C518" s="150" t="s">
        <v>2961</v>
      </c>
      <c r="D518" t="s">
        <v>1741</v>
      </c>
      <c r="E518" t="s">
        <v>1501</v>
      </c>
      <c r="F518" t="s">
        <v>1493</v>
      </c>
      <c r="G518" t="s">
        <v>1500</v>
      </c>
      <c r="H518" t="s">
        <v>1498</v>
      </c>
      <c r="I518" t="s">
        <v>844</v>
      </c>
      <c r="J518">
        <v>5223</v>
      </c>
      <c r="K518" t="s">
        <v>679</v>
      </c>
    </row>
    <row r="519" spans="1:11" x14ac:dyDescent="0.35">
      <c r="A519">
        <v>1118028777</v>
      </c>
      <c r="B519" t="s">
        <v>281</v>
      </c>
      <c r="C519" s="150" t="s">
        <v>2961</v>
      </c>
      <c r="D519" t="s">
        <v>1504</v>
      </c>
      <c r="E519" t="s">
        <v>1925</v>
      </c>
      <c r="F519" t="s">
        <v>1493</v>
      </c>
      <c r="G519" t="s">
        <v>1748</v>
      </c>
      <c r="H519" t="s">
        <v>1498</v>
      </c>
      <c r="I519" t="s">
        <v>844</v>
      </c>
      <c r="J519">
        <v>5223</v>
      </c>
      <c r="K519" t="s">
        <v>679</v>
      </c>
    </row>
    <row r="520" spans="1:11" x14ac:dyDescent="0.35">
      <c r="A520">
        <v>1118028777</v>
      </c>
      <c r="B520" t="s">
        <v>281</v>
      </c>
      <c r="C520" s="152" t="s">
        <v>2962</v>
      </c>
      <c r="D520" t="s">
        <v>2941</v>
      </c>
      <c r="E520" t="s">
        <v>2942</v>
      </c>
      <c r="F520" t="s">
        <v>1433</v>
      </c>
      <c r="H520" t="s">
        <v>1498</v>
      </c>
      <c r="I520" t="s">
        <v>844</v>
      </c>
      <c r="J520">
        <v>5223</v>
      </c>
      <c r="K520" t="s">
        <v>679</v>
      </c>
    </row>
    <row r="521" spans="1:11" x14ac:dyDescent="0.35">
      <c r="A521">
        <v>1118028777</v>
      </c>
      <c r="B521" t="s">
        <v>281</v>
      </c>
      <c r="C521" s="152" t="s">
        <v>2962</v>
      </c>
      <c r="D521" t="s">
        <v>2941</v>
      </c>
      <c r="E521" t="s">
        <v>2943</v>
      </c>
      <c r="F521" t="s">
        <v>1922</v>
      </c>
      <c r="H521" t="s">
        <v>1498</v>
      </c>
      <c r="I521" t="s">
        <v>844</v>
      </c>
      <c r="J521">
        <v>5223</v>
      </c>
      <c r="K521" t="s">
        <v>679</v>
      </c>
    </row>
    <row r="522" spans="1:11" x14ac:dyDescent="0.35">
      <c r="A522">
        <v>1118028777</v>
      </c>
      <c r="B522" t="s">
        <v>281</v>
      </c>
      <c r="C522" s="152" t="s">
        <v>2962</v>
      </c>
      <c r="D522" t="s">
        <v>2944</v>
      </c>
      <c r="E522" t="s">
        <v>2945</v>
      </c>
      <c r="F522" t="s">
        <v>1433</v>
      </c>
      <c r="H522" t="s">
        <v>1498</v>
      </c>
      <c r="I522" t="s">
        <v>844</v>
      </c>
      <c r="J522">
        <v>5223</v>
      </c>
      <c r="K522" t="s">
        <v>679</v>
      </c>
    </row>
    <row r="523" spans="1:11" x14ac:dyDescent="0.35">
      <c r="A523">
        <v>1118028777</v>
      </c>
      <c r="B523" t="s">
        <v>281</v>
      </c>
      <c r="C523" s="152" t="s">
        <v>2962</v>
      </c>
      <c r="D523" t="s">
        <v>2944</v>
      </c>
      <c r="E523" t="s">
        <v>2586</v>
      </c>
      <c r="F523" t="s">
        <v>1433</v>
      </c>
      <c r="H523" t="s">
        <v>1498</v>
      </c>
      <c r="I523" t="s">
        <v>844</v>
      </c>
      <c r="J523">
        <v>5223</v>
      </c>
      <c r="K523" t="s">
        <v>679</v>
      </c>
    </row>
    <row r="524" spans="1:11" x14ac:dyDescent="0.35">
      <c r="A524">
        <v>1118028777</v>
      </c>
      <c r="B524" t="s">
        <v>281</v>
      </c>
      <c r="C524" s="152" t="s">
        <v>2962</v>
      </c>
      <c r="D524" t="s">
        <v>2946</v>
      </c>
      <c r="E524" t="s">
        <v>2947</v>
      </c>
      <c r="F524" t="s">
        <v>1433</v>
      </c>
      <c r="H524" t="s">
        <v>1498</v>
      </c>
      <c r="I524" t="s">
        <v>844</v>
      </c>
      <c r="J524">
        <v>5223</v>
      </c>
      <c r="K524" t="s">
        <v>679</v>
      </c>
    </row>
    <row r="525" spans="1:11" x14ac:dyDescent="0.35">
      <c r="A525">
        <v>1118028777</v>
      </c>
      <c r="B525" t="s">
        <v>281</v>
      </c>
      <c r="C525" s="152" t="s">
        <v>2962</v>
      </c>
      <c r="D525" t="s">
        <v>2946</v>
      </c>
      <c r="E525" t="s">
        <v>2948</v>
      </c>
      <c r="F525" t="s">
        <v>1433</v>
      </c>
      <c r="H525" t="s">
        <v>1498</v>
      </c>
      <c r="I525" t="s">
        <v>844</v>
      </c>
      <c r="J525">
        <v>5223</v>
      </c>
      <c r="K525" t="s">
        <v>679</v>
      </c>
    </row>
    <row r="526" spans="1:11" x14ac:dyDescent="0.35">
      <c r="A526">
        <v>1118028828</v>
      </c>
      <c r="B526" t="s">
        <v>1939</v>
      </c>
      <c r="C526" s="150" t="s">
        <v>2961</v>
      </c>
      <c r="D526" t="s">
        <v>1940</v>
      </c>
      <c r="E526" t="s">
        <v>1941</v>
      </c>
      <c r="F526" t="s">
        <v>1433</v>
      </c>
      <c r="G526" t="s">
        <v>1587</v>
      </c>
      <c r="H526" t="s">
        <v>1439</v>
      </c>
      <c r="I526" t="s">
        <v>1997</v>
      </c>
      <c r="J526">
        <v>7222</v>
      </c>
      <c r="K526" t="s">
        <v>749</v>
      </c>
    </row>
    <row r="527" spans="1:11" x14ac:dyDescent="0.35">
      <c r="A527">
        <v>1118028828</v>
      </c>
      <c r="B527" t="s">
        <v>1939</v>
      </c>
      <c r="C527" s="150" t="s">
        <v>2961</v>
      </c>
      <c r="D527" t="s">
        <v>1492</v>
      </c>
      <c r="E527" t="s">
        <v>1495</v>
      </c>
      <c r="F527" t="s">
        <v>1493</v>
      </c>
      <c r="G527" t="s">
        <v>1494</v>
      </c>
      <c r="H527" t="s">
        <v>1498</v>
      </c>
      <c r="I527" t="s">
        <v>1997</v>
      </c>
      <c r="J527">
        <v>7222</v>
      </c>
      <c r="K527" t="s">
        <v>749</v>
      </c>
    </row>
    <row r="528" spans="1:11" x14ac:dyDescent="0.35">
      <c r="A528">
        <v>1118028828</v>
      </c>
      <c r="B528" t="s">
        <v>1939</v>
      </c>
      <c r="C528" s="152" t="s">
        <v>2962</v>
      </c>
      <c r="D528" t="s">
        <v>2540</v>
      </c>
      <c r="E528" t="s">
        <v>2541</v>
      </c>
      <c r="F528" t="s">
        <v>1433</v>
      </c>
      <c r="H528" t="s">
        <v>1498</v>
      </c>
      <c r="I528" t="s">
        <v>1997</v>
      </c>
      <c r="J528">
        <v>7222</v>
      </c>
      <c r="K528" t="s">
        <v>749</v>
      </c>
    </row>
    <row r="529" spans="1:11" x14ac:dyDescent="0.35">
      <c r="A529">
        <v>1118028828</v>
      </c>
      <c r="B529" t="s">
        <v>1939</v>
      </c>
      <c r="C529" s="152" t="s">
        <v>2962</v>
      </c>
      <c r="D529" t="s">
        <v>2540</v>
      </c>
      <c r="E529" t="s">
        <v>2543</v>
      </c>
      <c r="F529" t="s">
        <v>1433</v>
      </c>
      <c r="H529" t="s">
        <v>1498</v>
      </c>
      <c r="I529" t="s">
        <v>1997</v>
      </c>
      <c r="J529">
        <v>7222</v>
      </c>
      <c r="K529" t="s">
        <v>749</v>
      </c>
    </row>
    <row r="530" spans="1:11" x14ac:dyDescent="0.35">
      <c r="A530">
        <v>1118028828</v>
      </c>
      <c r="B530" t="s">
        <v>1939</v>
      </c>
      <c r="C530" s="152" t="s">
        <v>2962</v>
      </c>
      <c r="D530" t="s">
        <v>2544</v>
      </c>
      <c r="E530" t="s">
        <v>2545</v>
      </c>
      <c r="F530" t="s">
        <v>1433</v>
      </c>
      <c r="H530" t="s">
        <v>1498</v>
      </c>
      <c r="I530" t="s">
        <v>1997</v>
      </c>
      <c r="J530">
        <v>7222</v>
      </c>
      <c r="K530" t="s">
        <v>749</v>
      </c>
    </row>
    <row r="531" spans="1:11" x14ac:dyDescent="0.35">
      <c r="A531">
        <v>1118028828</v>
      </c>
      <c r="B531" t="s">
        <v>1939</v>
      </c>
      <c r="C531" s="152" t="s">
        <v>2962</v>
      </c>
      <c r="D531" t="s">
        <v>2544</v>
      </c>
      <c r="E531" t="s">
        <v>2546</v>
      </c>
      <c r="F531" t="s">
        <v>1433</v>
      </c>
      <c r="H531" t="s">
        <v>1498</v>
      </c>
      <c r="I531" t="s">
        <v>1997</v>
      </c>
      <c r="J531">
        <v>7222</v>
      </c>
      <c r="K531" t="s">
        <v>749</v>
      </c>
    </row>
    <row r="532" spans="1:11" x14ac:dyDescent="0.35">
      <c r="A532">
        <v>1118028828</v>
      </c>
      <c r="B532" t="s">
        <v>1939</v>
      </c>
      <c r="C532" s="152" t="s">
        <v>2962</v>
      </c>
      <c r="D532" t="s">
        <v>2547</v>
      </c>
      <c r="E532" t="s">
        <v>2548</v>
      </c>
      <c r="F532" t="s">
        <v>1433</v>
      </c>
      <c r="H532" t="s">
        <v>1498</v>
      </c>
      <c r="I532" t="s">
        <v>1997</v>
      </c>
      <c r="J532">
        <v>7222</v>
      </c>
      <c r="K532" t="s">
        <v>749</v>
      </c>
    </row>
    <row r="533" spans="1:11" x14ac:dyDescent="0.35">
      <c r="A533">
        <v>1118028828</v>
      </c>
      <c r="B533" t="s">
        <v>1939</v>
      </c>
      <c r="C533" s="152" t="s">
        <v>2962</v>
      </c>
      <c r="D533" t="s">
        <v>2547</v>
      </c>
      <c r="E533" t="s">
        <v>2549</v>
      </c>
      <c r="F533" t="s">
        <v>1433</v>
      </c>
      <c r="H533" t="s">
        <v>1498</v>
      </c>
      <c r="I533" t="s">
        <v>1997</v>
      </c>
      <c r="J533">
        <v>7222</v>
      </c>
      <c r="K533" t="s">
        <v>749</v>
      </c>
    </row>
    <row r="534" spans="1:11" x14ac:dyDescent="0.35">
      <c r="A534">
        <v>1118028828</v>
      </c>
      <c r="B534" t="s">
        <v>1939</v>
      </c>
      <c r="C534" s="152" t="s">
        <v>2962</v>
      </c>
      <c r="D534" t="s">
        <v>2550</v>
      </c>
      <c r="E534" t="s">
        <v>2551</v>
      </c>
      <c r="F534" t="s">
        <v>1433</v>
      </c>
      <c r="H534" t="s">
        <v>1498</v>
      </c>
      <c r="I534" t="s">
        <v>1997</v>
      </c>
      <c r="J534">
        <v>7222</v>
      </c>
      <c r="K534" t="s">
        <v>749</v>
      </c>
    </row>
    <row r="535" spans="1:11" x14ac:dyDescent="0.35">
      <c r="A535">
        <v>1118028828</v>
      </c>
      <c r="B535" t="s">
        <v>1939</v>
      </c>
      <c r="C535" s="152" t="s">
        <v>2962</v>
      </c>
      <c r="D535" t="s">
        <v>2550</v>
      </c>
      <c r="E535" t="s">
        <v>2552</v>
      </c>
      <c r="F535" t="s">
        <v>1433</v>
      </c>
      <c r="H535" t="s">
        <v>1498</v>
      </c>
      <c r="I535" t="s">
        <v>1997</v>
      </c>
      <c r="J535">
        <v>7222</v>
      </c>
      <c r="K535" t="s">
        <v>749</v>
      </c>
    </row>
    <row r="536" spans="1:11" x14ac:dyDescent="0.35">
      <c r="A536">
        <v>1118028828</v>
      </c>
      <c r="B536" t="s">
        <v>1939</v>
      </c>
      <c r="C536" s="152" t="s">
        <v>2962</v>
      </c>
      <c r="D536" t="s">
        <v>2553</v>
      </c>
      <c r="E536" t="s">
        <v>2554</v>
      </c>
      <c r="F536" t="s">
        <v>1433</v>
      </c>
      <c r="H536" t="s">
        <v>1498</v>
      </c>
      <c r="I536" t="s">
        <v>1997</v>
      </c>
      <c r="J536">
        <v>7222</v>
      </c>
      <c r="K536" t="s">
        <v>749</v>
      </c>
    </row>
    <row r="537" spans="1:11" x14ac:dyDescent="0.35">
      <c r="A537">
        <v>1118028828</v>
      </c>
      <c r="B537" t="s">
        <v>1939</v>
      </c>
      <c r="C537" s="152" t="s">
        <v>2962</v>
      </c>
      <c r="D537" t="s">
        <v>2553</v>
      </c>
      <c r="E537" t="s">
        <v>2555</v>
      </c>
      <c r="F537" t="s">
        <v>1433</v>
      </c>
      <c r="H537" t="s">
        <v>1498</v>
      </c>
      <c r="I537" t="s">
        <v>1997</v>
      </c>
      <c r="J537">
        <v>7222</v>
      </c>
      <c r="K537" t="s">
        <v>749</v>
      </c>
    </row>
    <row r="538" spans="1:11" x14ac:dyDescent="0.35">
      <c r="A538">
        <v>1118028828</v>
      </c>
      <c r="B538" t="s">
        <v>1939</v>
      </c>
      <c r="C538" s="152" t="s">
        <v>2962</v>
      </c>
      <c r="D538" t="s">
        <v>2556</v>
      </c>
      <c r="E538" t="s">
        <v>2557</v>
      </c>
      <c r="F538" t="s">
        <v>1433</v>
      </c>
      <c r="H538" t="s">
        <v>1498</v>
      </c>
      <c r="I538" t="s">
        <v>1997</v>
      </c>
      <c r="J538">
        <v>7222</v>
      </c>
      <c r="K538" t="s">
        <v>749</v>
      </c>
    </row>
    <row r="539" spans="1:11" x14ac:dyDescent="0.35">
      <c r="A539">
        <v>1118028828</v>
      </c>
      <c r="B539" t="s">
        <v>1939</v>
      </c>
      <c r="C539" s="152" t="s">
        <v>2962</v>
      </c>
      <c r="D539" t="s">
        <v>2556</v>
      </c>
      <c r="E539" t="s">
        <v>2558</v>
      </c>
      <c r="F539" t="s">
        <v>1433</v>
      </c>
      <c r="H539" t="s">
        <v>1498</v>
      </c>
      <c r="I539" t="s">
        <v>1997</v>
      </c>
      <c r="J539">
        <v>7222</v>
      </c>
      <c r="K539" t="s">
        <v>749</v>
      </c>
    </row>
    <row r="540" spans="1:11" x14ac:dyDescent="0.35">
      <c r="A540">
        <v>1118028828</v>
      </c>
      <c r="B540" t="s">
        <v>1939</v>
      </c>
      <c r="C540" s="152" t="s">
        <v>2962</v>
      </c>
      <c r="D540" t="s">
        <v>2559</v>
      </c>
      <c r="E540" t="s">
        <v>2560</v>
      </c>
      <c r="F540" t="s">
        <v>1433</v>
      </c>
      <c r="H540" t="s">
        <v>1498</v>
      </c>
      <c r="I540" t="s">
        <v>1997</v>
      </c>
      <c r="J540">
        <v>7222</v>
      </c>
      <c r="K540" t="s">
        <v>749</v>
      </c>
    </row>
    <row r="541" spans="1:11" x14ac:dyDescent="0.35">
      <c r="A541">
        <v>1118028828</v>
      </c>
      <c r="B541" t="s">
        <v>1939</v>
      </c>
      <c r="C541" s="152" t="s">
        <v>2962</v>
      </c>
      <c r="D541" t="s">
        <v>2559</v>
      </c>
      <c r="E541" t="s">
        <v>2561</v>
      </c>
      <c r="F541" t="s">
        <v>1917</v>
      </c>
      <c r="H541" t="s">
        <v>1498</v>
      </c>
      <c r="I541" t="s">
        <v>1997</v>
      </c>
      <c r="J541">
        <v>7222</v>
      </c>
      <c r="K541" t="s">
        <v>749</v>
      </c>
    </row>
    <row r="542" spans="1:11" x14ac:dyDescent="0.35">
      <c r="A542">
        <v>1118028828</v>
      </c>
      <c r="B542" t="s">
        <v>1939</v>
      </c>
      <c r="C542" s="152" t="s">
        <v>2962</v>
      </c>
      <c r="D542" t="s">
        <v>2562</v>
      </c>
      <c r="E542" t="s">
        <v>2563</v>
      </c>
      <c r="F542" t="s">
        <v>1433</v>
      </c>
      <c r="H542" t="s">
        <v>1498</v>
      </c>
      <c r="I542" t="s">
        <v>1997</v>
      </c>
      <c r="J542">
        <v>7222</v>
      </c>
      <c r="K542" t="s">
        <v>749</v>
      </c>
    </row>
    <row r="543" spans="1:11" x14ac:dyDescent="0.35">
      <c r="A543">
        <v>1118028828</v>
      </c>
      <c r="B543" t="s">
        <v>1939</v>
      </c>
      <c r="C543" s="152" t="s">
        <v>2962</v>
      </c>
      <c r="D543" t="s">
        <v>2562</v>
      </c>
      <c r="E543" t="s">
        <v>2564</v>
      </c>
      <c r="F543" t="s">
        <v>1493</v>
      </c>
      <c r="H543" t="s">
        <v>1498</v>
      </c>
      <c r="I543" t="s">
        <v>1997</v>
      </c>
      <c r="J543">
        <v>7222</v>
      </c>
      <c r="K543" t="s">
        <v>749</v>
      </c>
    </row>
    <row r="544" spans="1:11" x14ac:dyDescent="0.35">
      <c r="A544">
        <v>1118028833</v>
      </c>
      <c r="B544" t="s">
        <v>100</v>
      </c>
      <c r="C544" s="150" t="s">
        <v>2961</v>
      </c>
      <c r="D544" t="s">
        <v>1771</v>
      </c>
      <c r="E544" t="s">
        <v>1515</v>
      </c>
      <c r="F544" t="s">
        <v>1493</v>
      </c>
      <c r="G544" t="s">
        <v>1514</v>
      </c>
      <c r="H544" t="s">
        <v>1498</v>
      </c>
      <c r="I544" t="s">
        <v>722</v>
      </c>
      <c r="J544">
        <v>3322</v>
      </c>
      <c r="K544" t="s">
        <v>725</v>
      </c>
    </row>
    <row r="545" spans="1:11" x14ac:dyDescent="0.35">
      <c r="A545">
        <v>1118028833</v>
      </c>
      <c r="B545" t="s">
        <v>100</v>
      </c>
      <c r="C545" s="150" t="s">
        <v>2961</v>
      </c>
      <c r="D545" t="s">
        <v>1783</v>
      </c>
      <c r="E545" t="s">
        <v>1518</v>
      </c>
      <c r="F545" t="s">
        <v>1493</v>
      </c>
      <c r="G545" t="s">
        <v>1942</v>
      </c>
      <c r="H545" t="s">
        <v>1498</v>
      </c>
      <c r="I545" t="s">
        <v>722</v>
      </c>
      <c r="J545">
        <v>3322</v>
      </c>
      <c r="K545" t="s">
        <v>725</v>
      </c>
    </row>
    <row r="546" spans="1:11" x14ac:dyDescent="0.35">
      <c r="A546">
        <v>1118028833</v>
      </c>
      <c r="B546" t="s">
        <v>100</v>
      </c>
      <c r="C546" s="150" t="s">
        <v>2961</v>
      </c>
      <c r="D546" t="s">
        <v>1861</v>
      </c>
      <c r="E546" t="s">
        <v>1943</v>
      </c>
      <c r="F546" t="s">
        <v>1493</v>
      </c>
      <c r="G546" t="s">
        <v>1862</v>
      </c>
      <c r="H546" t="s">
        <v>1498</v>
      </c>
      <c r="I546" t="s">
        <v>722</v>
      </c>
      <c r="J546">
        <v>3322</v>
      </c>
      <c r="K546" t="s">
        <v>725</v>
      </c>
    </row>
    <row r="547" spans="1:11" x14ac:dyDescent="0.35">
      <c r="A547">
        <v>1118028833</v>
      </c>
      <c r="B547" t="s">
        <v>100</v>
      </c>
      <c r="C547" s="150" t="s">
        <v>2961</v>
      </c>
      <c r="D547" t="s">
        <v>1836</v>
      </c>
      <c r="E547" t="s">
        <v>1530</v>
      </c>
      <c r="F547" t="s">
        <v>1922</v>
      </c>
      <c r="G547" t="s">
        <v>1921</v>
      </c>
      <c r="H547" t="s">
        <v>1498</v>
      </c>
      <c r="I547" t="s">
        <v>722</v>
      </c>
      <c r="J547">
        <v>3322</v>
      </c>
      <c r="K547" t="s">
        <v>725</v>
      </c>
    </row>
    <row r="548" spans="1:11" x14ac:dyDescent="0.35">
      <c r="A548">
        <v>1118028833</v>
      </c>
      <c r="B548" t="s">
        <v>100</v>
      </c>
      <c r="C548" s="150" t="s">
        <v>2961</v>
      </c>
      <c r="D548" t="s">
        <v>1492</v>
      </c>
      <c r="E548" t="s">
        <v>1495</v>
      </c>
      <c r="F548" t="s">
        <v>1493</v>
      </c>
      <c r="G548" t="s">
        <v>1494</v>
      </c>
      <c r="H548" t="s">
        <v>1498</v>
      </c>
      <c r="I548" t="s">
        <v>722</v>
      </c>
      <c r="J548">
        <v>3322</v>
      </c>
      <c r="K548" t="s">
        <v>725</v>
      </c>
    </row>
    <row r="549" spans="1:11" x14ac:dyDescent="0.35">
      <c r="A549">
        <v>1118028833</v>
      </c>
      <c r="B549" t="s">
        <v>100</v>
      </c>
      <c r="C549" s="152" t="s">
        <v>2962</v>
      </c>
      <c r="D549" t="s">
        <v>2566</v>
      </c>
      <c r="E549" t="s">
        <v>2567</v>
      </c>
      <c r="F549" t="s">
        <v>1433</v>
      </c>
      <c r="H549" t="s">
        <v>1498</v>
      </c>
      <c r="I549" t="s">
        <v>722</v>
      </c>
      <c r="J549">
        <v>3322</v>
      </c>
      <c r="K549" t="s">
        <v>725</v>
      </c>
    </row>
    <row r="550" spans="1:11" x14ac:dyDescent="0.35">
      <c r="A550">
        <v>1118028833</v>
      </c>
      <c r="B550" t="s">
        <v>100</v>
      </c>
      <c r="C550" s="152" t="s">
        <v>2962</v>
      </c>
      <c r="D550" t="s">
        <v>2566</v>
      </c>
      <c r="E550" t="s">
        <v>2522</v>
      </c>
      <c r="F550" t="s">
        <v>2278</v>
      </c>
      <c r="H550" t="s">
        <v>1439</v>
      </c>
      <c r="I550" t="s">
        <v>722</v>
      </c>
      <c r="J550">
        <v>3322</v>
      </c>
      <c r="K550" t="s">
        <v>725</v>
      </c>
    </row>
    <row r="551" spans="1:11" x14ac:dyDescent="0.35">
      <c r="A551">
        <v>1118028833</v>
      </c>
      <c r="B551" t="s">
        <v>100</v>
      </c>
      <c r="C551" s="152" t="s">
        <v>2962</v>
      </c>
      <c r="D551" t="s">
        <v>2566</v>
      </c>
      <c r="E551" t="s">
        <v>2568</v>
      </c>
      <c r="F551" t="s">
        <v>1433</v>
      </c>
      <c r="H551" t="s">
        <v>1498</v>
      </c>
      <c r="I551" t="s">
        <v>722</v>
      </c>
      <c r="J551">
        <v>3322</v>
      </c>
      <c r="K551" t="s">
        <v>725</v>
      </c>
    </row>
    <row r="552" spans="1:11" x14ac:dyDescent="0.35">
      <c r="A552">
        <v>1118028833</v>
      </c>
      <c r="B552" t="s">
        <v>100</v>
      </c>
      <c r="C552" s="152" t="s">
        <v>2962</v>
      </c>
      <c r="D552" t="s">
        <v>2569</v>
      </c>
      <c r="E552" t="s">
        <v>2570</v>
      </c>
      <c r="F552" t="s">
        <v>1433</v>
      </c>
      <c r="H552" t="s">
        <v>1498</v>
      </c>
      <c r="I552" t="s">
        <v>722</v>
      </c>
      <c r="J552">
        <v>3322</v>
      </c>
      <c r="K552" t="s">
        <v>725</v>
      </c>
    </row>
    <row r="553" spans="1:11" x14ac:dyDescent="0.35">
      <c r="A553">
        <v>1118028833</v>
      </c>
      <c r="B553" t="s">
        <v>100</v>
      </c>
      <c r="C553" s="152" t="s">
        <v>2962</v>
      </c>
      <c r="D553" t="s">
        <v>2569</v>
      </c>
      <c r="E553" t="s">
        <v>2571</v>
      </c>
      <c r="F553" t="s">
        <v>1433</v>
      </c>
      <c r="H553" t="s">
        <v>1498</v>
      </c>
      <c r="I553" t="s">
        <v>722</v>
      </c>
      <c r="J553">
        <v>3322</v>
      </c>
      <c r="K553" t="s">
        <v>725</v>
      </c>
    </row>
    <row r="554" spans="1:11" x14ac:dyDescent="0.35">
      <c r="A554">
        <v>1118028833</v>
      </c>
      <c r="B554" t="s">
        <v>100</v>
      </c>
      <c r="C554" s="152" t="s">
        <v>2962</v>
      </c>
      <c r="D554" t="s">
        <v>2572</v>
      </c>
      <c r="E554" t="s">
        <v>2573</v>
      </c>
      <c r="F554" t="s">
        <v>1433</v>
      </c>
      <c r="H554" t="s">
        <v>1498</v>
      </c>
      <c r="I554" t="s">
        <v>722</v>
      </c>
      <c r="J554">
        <v>3322</v>
      </c>
      <c r="K554" t="s">
        <v>725</v>
      </c>
    </row>
    <row r="555" spans="1:11" x14ac:dyDescent="0.35">
      <c r="A555">
        <v>1118028833</v>
      </c>
      <c r="B555" t="s">
        <v>100</v>
      </c>
      <c r="C555" s="152" t="s">
        <v>2962</v>
      </c>
      <c r="D555" t="s">
        <v>2572</v>
      </c>
      <c r="E555" t="s">
        <v>2426</v>
      </c>
      <c r="F555" t="s">
        <v>1433</v>
      </c>
      <c r="H555" t="s">
        <v>1498</v>
      </c>
      <c r="I555" t="s">
        <v>722</v>
      </c>
      <c r="J555">
        <v>3322</v>
      </c>
      <c r="K555" t="s">
        <v>725</v>
      </c>
    </row>
    <row r="556" spans="1:11" x14ac:dyDescent="0.35">
      <c r="A556">
        <v>1118028833</v>
      </c>
      <c r="B556" t="s">
        <v>100</v>
      </c>
      <c r="C556" s="152" t="s">
        <v>2962</v>
      </c>
      <c r="D556" t="s">
        <v>2572</v>
      </c>
      <c r="E556" t="s">
        <v>2574</v>
      </c>
      <c r="F556" t="s">
        <v>1433</v>
      </c>
      <c r="H556" t="s">
        <v>1498</v>
      </c>
      <c r="I556" t="s">
        <v>722</v>
      </c>
      <c r="J556">
        <v>3322</v>
      </c>
      <c r="K556" t="s">
        <v>725</v>
      </c>
    </row>
    <row r="557" spans="1:11" x14ac:dyDescent="0.35">
      <c r="A557">
        <v>1118028887</v>
      </c>
      <c r="B557" t="s">
        <v>105</v>
      </c>
      <c r="C557" s="150" t="s">
        <v>2961</v>
      </c>
      <c r="D557" t="s">
        <v>1785</v>
      </c>
      <c r="E557" t="s">
        <v>1518</v>
      </c>
      <c r="F557" t="s">
        <v>1493</v>
      </c>
      <c r="G557" t="s">
        <v>1942</v>
      </c>
      <c r="H557" t="s">
        <v>1498</v>
      </c>
      <c r="I557" t="s">
        <v>752</v>
      </c>
      <c r="J557">
        <v>3333</v>
      </c>
      <c r="K557" t="s">
        <v>755</v>
      </c>
    </row>
    <row r="558" spans="1:11" x14ac:dyDescent="0.35">
      <c r="A558">
        <v>1118028887</v>
      </c>
      <c r="B558" t="s">
        <v>105</v>
      </c>
      <c r="C558" s="150" t="s">
        <v>2961</v>
      </c>
      <c r="D558" t="s">
        <v>1750</v>
      </c>
      <c r="E558" t="s">
        <v>1925</v>
      </c>
      <c r="F558" t="s">
        <v>1493</v>
      </c>
      <c r="G558" t="s">
        <v>1748</v>
      </c>
      <c r="H558" t="s">
        <v>1498</v>
      </c>
      <c r="I558" t="s">
        <v>752</v>
      </c>
      <c r="J558">
        <v>3333</v>
      </c>
      <c r="K558" t="s">
        <v>755</v>
      </c>
    </row>
    <row r="559" spans="1:11" x14ac:dyDescent="0.35">
      <c r="A559">
        <v>1118028887</v>
      </c>
      <c r="B559" t="s">
        <v>105</v>
      </c>
      <c r="C559" s="152" t="s">
        <v>2962</v>
      </c>
      <c r="D559" t="s">
        <v>2575</v>
      </c>
      <c r="E559" t="s">
        <v>2576</v>
      </c>
      <c r="F559" t="s">
        <v>1433</v>
      </c>
      <c r="H559" t="s">
        <v>1498</v>
      </c>
      <c r="I559" t="s">
        <v>752</v>
      </c>
      <c r="J559">
        <v>3333</v>
      </c>
      <c r="K559" t="s">
        <v>755</v>
      </c>
    </row>
    <row r="560" spans="1:11" x14ac:dyDescent="0.35">
      <c r="A560">
        <v>1118028887</v>
      </c>
      <c r="B560" t="s">
        <v>105</v>
      </c>
      <c r="C560" s="152" t="s">
        <v>2962</v>
      </c>
      <c r="D560" t="s">
        <v>2575</v>
      </c>
      <c r="E560" t="s">
        <v>2408</v>
      </c>
      <c r="F560" t="s">
        <v>1433</v>
      </c>
      <c r="H560" t="s">
        <v>1498</v>
      </c>
      <c r="I560" t="s">
        <v>752</v>
      </c>
      <c r="J560">
        <v>3333</v>
      </c>
      <c r="K560" t="s">
        <v>755</v>
      </c>
    </row>
    <row r="561" spans="1:11" x14ac:dyDescent="0.35">
      <c r="A561">
        <v>1118028887</v>
      </c>
      <c r="B561" t="s">
        <v>105</v>
      </c>
      <c r="C561" s="152" t="s">
        <v>2962</v>
      </c>
      <c r="D561" t="s">
        <v>2575</v>
      </c>
      <c r="E561" t="s">
        <v>2577</v>
      </c>
      <c r="F561" t="s">
        <v>2278</v>
      </c>
      <c r="H561" t="s">
        <v>1439</v>
      </c>
      <c r="I561" t="s">
        <v>752</v>
      </c>
      <c r="J561">
        <v>3333</v>
      </c>
      <c r="K561" t="s">
        <v>755</v>
      </c>
    </row>
    <row r="562" spans="1:11" x14ac:dyDescent="0.35">
      <c r="A562">
        <v>1118028887</v>
      </c>
      <c r="B562" t="s">
        <v>105</v>
      </c>
      <c r="C562" s="152" t="s">
        <v>2962</v>
      </c>
      <c r="D562" t="s">
        <v>2578</v>
      </c>
      <c r="E562" t="s">
        <v>2579</v>
      </c>
      <c r="F562" t="s">
        <v>1433</v>
      </c>
      <c r="H562" t="s">
        <v>1498</v>
      </c>
      <c r="I562" t="s">
        <v>752</v>
      </c>
      <c r="J562">
        <v>3333</v>
      </c>
      <c r="K562" t="s">
        <v>755</v>
      </c>
    </row>
    <row r="563" spans="1:11" x14ac:dyDescent="0.35">
      <c r="A563">
        <v>1118028887</v>
      </c>
      <c r="B563" t="s">
        <v>105</v>
      </c>
      <c r="C563" s="152" t="s">
        <v>2962</v>
      </c>
      <c r="D563" t="s">
        <v>2578</v>
      </c>
      <c r="E563" t="s">
        <v>1717</v>
      </c>
      <c r="F563" t="s">
        <v>2278</v>
      </c>
      <c r="H563" t="s">
        <v>1439</v>
      </c>
      <c r="I563" t="s">
        <v>752</v>
      </c>
      <c r="J563">
        <v>3333</v>
      </c>
      <c r="K563" t="s">
        <v>755</v>
      </c>
    </row>
    <row r="564" spans="1:11" x14ac:dyDescent="0.35">
      <c r="A564">
        <v>1118028887</v>
      </c>
      <c r="B564" t="s">
        <v>105</v>
      </c>
      <c r="C564" s="152" t="s">
        <v>2962</v>
      </c>
      <c r="D564" t="s">
        <v>2578</v>
      </c>
      <c r="E564" t="s">
        <v>2580</v>
      </c>
      <c r="F564" t="s">
        <v>1433</v>
      </c>
      <c r="H564" t="s">
        <v>1498</v>
      </c>
      <c r="I564" t="s">
        <v>752</v>
      </c>
      <c r="J564">
        <v>3333</v>
      </c>
      <c r="K564" t="s">
        <v>755</v>
      </c>
    </row>
    <row r="565" spans="1:11" x14ac:dyDescent="0.35">
      <c r="A565">
        <v>1118028887</v>
      </c>
      <c r="B565" t="s">
        <v>105</v>
      </c>
      <c r="C565" s="152" t="s">
        <v>2962</v>
      </c>
      <c r="D565" t="s">
        <v>2581</v>
      </c>
      <c r="E565" t="s">
        <v>2582</v>
      </c>
      <c r="F565" t="s">
        <v>1433</v>
      </c>
      <c r="H565" t="s">
        <v>1498</v>
      </c>
      <c r="I565" t="s">
        <v>752</v>
      </c>
      <c r="J565">
        <v>3333</v>
      </c>
      <c r="K565" t="s">
        <v>755</v>
      </c>
    </row>
    <row r="566" spans="1:11" x14ac:dyDescent="0.35">
      <c r="A566">
        <v>1118028887</v>
      </c>
      <c r="B566" t="s">
        <v>105</v>
      </c>
      <c r="C566" s="152" t="s">
        <v>2962</v>
      </c>
      <c r="D566" t="s">
        <v>2581</v>
      </c>
      <c r="E566" t="s">
        <v>1623</v>
      </c>
      <c r="F566" t="s">
        <v>2278</v>
      </c>
      <c r="H566" t="s">
        <v>1439</v>
      </c>
      <c r="I566" t="s">
        <v>752</v>
      </c>
      <c r="J566">
        <v>3333</v>
      </c>
      <c r="K566" t="s">
        <v>755</v>
      </c>
    </row>
    <row r="567" spans="1:11" x14ac:dyDescent="0.35">
      <c r="A567">
        <v>1118028887</v>
      </c>
      <c r="B567" t="s">
        <v>105</v>
      </c>
      <c r="C567" s="152" t="s">
        <v>2962</v>
      </c>
      <c r="D567" t="s">
        <v>2581</v>
      </c>
      <c r="E567" t="s">
        <v>2583</v>
      </c>
      <c r="F567" t="s">
        <v>1433</v>
      </c>
      <c r="H567" t="s">
        <v>1498</v>
      </c>
      <c r="I567" t="s">
        <v>752</v>
      </c>
      <c r="J567">
        <v>3333</v>
      </c>
      <c r="K567" t="s">
        <v>755</v>
      </c>
    </row>
    <row r="568" spans="1:11" x14ac:dyDescent="0.35">
      <c r="A568">
        <v>1118028891</v>
      </c>
      <c r="B568" t="s">
        <v>110</v>
      </c>
      <c r="C568" s="150" t="s">
        <v>2961</v>
      </c>
      <c r="D568" t="s">
        <v>1767</v>
      </c>
      <c r="E568" t="s">
        <v>1515</v>
      </c>
      <c r="F568" t="s">
        <v>1493</v>
      </c>
      <c r="G568" t="s">
        <v>1514</v>
      </c>
      <c r="H568" t="s">
        <v>1498</v>
      </c>
      <c r="I568" t="s">
        <v>757</v>
      </c>
      <c r="J568">
        <v>3313</v>
      </c>
      <c r="K568" t="s">
        <v>715</v>
      </c>
    </row>
    <row r="569" spans="1:11" x14ac:dyDescent="0.35">
      <c r="A569">
        <v>1118028891</v>
      </c>
      <c r="B569" t="s">
        <v>110</v>
      </c>
      <c r="C569" s="150" t="s">
        <v>2961</v>
      </c>
      <c r="D569" t="s">
        <v>1771</v>
      </c>
      <c r="E569" t="s">
        <v>1515</v>
      </c>
      <c r="F569" t="s">
        <v>1493</v>
      </c>
      <c r="G569" t="s">
        <v>1514</v>
      </c>
      <c r="H569" t="s">
        <v>1498</v>
      </c>
      <c r="I569" t="s">
        <v>757</v>
      </c>
      <c r="J569">
        <v>3313</v>
      </c>
      <c r="K569" t="s">
        <v>715</v>
      </c>
    </row>
    <row r="570" spans="1:11" x14ac:dyDescent="0.35">
      <c r="A570">
        <v>1118028891</v>
      </c>
      <c r="B570" t="s">
        <v>110</v>
      </c>
      <c r="C570" s="152" t="s">
        <v>2962</v>
      </c>
      <c r="D570" t="s">
        <v>2272</v>
      </c>
      <c r="E570" t="s">
        <v>2273</v>
      </c>
      <c r="F570" t="s">
        <v>1433</v>
      </c>
      <c r="H570" t="s">
        <v>1498</v>
      </c>
      <c r="I570" t="s">
        <v>757</v>
      </c>
      <c r="J570">
        <v>3313</v>
      </c>
      <c r="K570" t="s">
        <v>715</v>
      </c>
    </row>
    <row r="571" spans="1:11" x14ac:dyDescent="0.35">
      <c r="A571">
        <v>1118028891</v>
      </c>
      <c r="B571" t="s">
        <v>110</v>
      </c>
      <c r="C571" s="152" t="s">
        <v>2962</v>
      </c>
      <c r="D571" t="s">
        <v>2272</v>
      </c>
      <c r="E571" t="s">
        <v>2276</v>
      </c>
      <c r="F571" t="s">
        <v>1433</v>
      </c>
      <c r="H571" t="s">
        <v>1498</v>
      </c>
      <c r="I571" t="s">
        <v>757</v>
      </c>
      <c r="J571">
        <v>3313</v>
      </c>
      <c r="K571" t="s">
        <v>715</v>
      </c>
    </row>
    <row r="572" spans="1:11" x14ac:dyDescent="0.35">
      <c r="A572">
        <v>1118028891</v>
      </c>
      <c r="B572" t="s">
        <v>110</v>
      </c>
      <c r="C572" s="152" t="s">
        <v>2962</v>
      </c>
      <c r="D572" t="s">
        <v>2272</v>
      </c>
      <c r="E572" t="s">
        <v>2584</v>
      </c>
      <c r="F572" t="s">
        <v>1433</v>
      </c>
      <c r="H572" t="s">
        <v>1498</v>
      </c>
      <c r="I572" t="s">
        <v>757</v>
      </c>
      <c r="J572">
        <v>3313</v>
      </c>
      <c r="K572" t="s">
        <v>715</v>
      </c>
    </row>
    <row r="573" spans="1:11" x14ac:dyDescent="0.35">
      <c r="A573">
        <v>1118028891</v>
      </c>
      <c r="B573" t="s">
        <v>110</v>
      </c>
      <c r="C573" s="152" t="s">
        <v>2962</v>
      </c>
      <c r="D573" t="s">
        <v>2585</v>
      </c>
      <c r="E573" t="s">
        <v>2586</v>
      </c>
      <c r="F573" t="s">
        <v>1433</v>
      </c>
      <c r="H573" t="s">
        <v>1498</v>
      </c>
      <c r="I573" t="s">
        <v>757</v>
      </c>
      <c r="J573">
        <v>3313</v>
      </c>
      <c r="K573" t="s">
        <v>715</v>
      </c>
    </row>
    <row r="574" spans="1:11" x14ac:dyDescent="0.35">
      <c r="A574">
        <v>1118028891</v>
      </c>
      <c r="B574" t="s">
        <v>110</v>
      </c>
      <c r="C574" s="152" t="s">
        <v>2962</v>
      </c>
      <c r="D574" t="s">
        <v>2585</v>
      </c>
      <c r="E574" t="s">
        <v>2587</v>
      </c>
      <c r="F574" t="s">
        <v>1433</v>
      </c>
      <c r="H574" t="s">
        <v>1498</v>
      </c>
      <c r="I574" t="s">
        <v>757</v>
      </c>
      <c r="J574">
        <v>3313</v>
      </c>
      <c r="K574" t="s">
        <v>715</v>
      </c>
    </row>
    <row r="575" spans="1:11" x14ac:dyDescent="0.35">
      <c r="A575">
        <v>1118028891</v>
      </c>
      <c r="B575" t="s">
        <v>110</v>
      </c>
      <c r="C575" s="152" t="s">
        <v>2962</v>
      </c>
      <c r="D575" t="s">
        <v>2585</v>
      </c>
      <c r="E575" t="s">
        <v>2588</v>
      </c>
      <c r="F575" t="s">
        <v>1433</v>
      </c>
      <c r="H575" t="s">
        <v>1498</v>
      </c>
      <c r="I575" t="s">
        <v>757</v>
      </c>
      <c r="J575">
        <v>3313</v>
      </c>
      <c r="K575" t="s">
        <v>715</v>
      </c>
    </row>
    <row r="576" spans="1:11" x14ac:dyDescent="0.35">
      <c r="A576">
        <v>1118028891</v>
      </c>
      <c r="B576" t="s">
        <v>110</v>
      </c>
      <c r="C576" s="152" t="s">
        <v>2962</v>
      </c>
      <c r="D576" t="s">
        <v>2589</v>
      </c>
      <c r="E576" t="s">
        <v>1556</v>
      </c>
      <c r="F576" t="s">
        <v>1433</v>
      </c>
      <c r="H576" t="s">
        <v>1498</v>
      </c>
      <c r="I576" t="s">
        <v>757</v>
      </c>
      <c r="J576">
        <v>3313</v>
      </c>
      <c r="K576" t="s">
        <v>715</v>
      </c>
    </row>
    <row r="577" spans="1:11" x14ac:dyDescent="0.35">
      <c r="A577">
        <v>1118028891</v>
      </c>
      <c r="B577" t="s">
        <v>110</v>
      </c>
      <c r="C577" s="152" t="s">
        <v>2962</v>
      </c>
      <c r="D577" t="s">
        <v>2589</v>
      </c>
      <c r="E577" t="s">
        <v>2590</v>
      </c>
      <c r="F577" t="s">
        <v>1433</v>
      </c>
      <c r="H577" t="s">
        <v>1498</v>
      </c>
      <c r="I577" t="s">
        <v>757</v>
      </c>
      <c r="J577">
        <v>3313</v>
      </c>
      <c r="K577" t="s">
        <v>715</v>
      </c>
    </row>
    <row r="578" spans="1:11" x14ac:dyDescent="0.35">
      <c r="A578">
        <v>1118028891</v>
      </c>
      <c r="B578" t="s">
        <v>110</v>
      </c>
      <c r="C578" s="152" t="s">
        <v>2962</v>
      </c>
      <c r="D578" t="s">
        <v>2589</v>
      </c>
      <c r="E578" t="s">
        <v>2591</v>
      </c>
      <c r="F578" t="s">
        <v>2278</v>
      </c>
      <c r="H578" t="s">
        <v>1439</v>
      </c>
      <c r="I578" t="s">
        <v>757</v>
      </c>
      <c r="J578">
        <v>3313</v>
      </c>
      <c r="K578" t="s">
        <v>715</v>
      </c>
    </row>
    <row r="579" spans="1:11" x14ac:dyDescent="0.35">
      <c r="A579">
        <v>1118028891</v>
      </c>
      <c r="B579" t="s">
        <v>110</v>
      </c>
      <c r="C579" s="152" t="s">
        <v>2962</v>
      </c>
      <c r="D579" t="s">
        <v>2279</v>
      </c>
      <c r="E579" t="s">
        <v>2280</v>
      </c>
      <c r="F579" t="s">
        <v>1433</v>
      </c>
      <c r="H579" t="s">
        <v>1498</v>
      </c>
      <c r="I579" t="s">
        <v>757</v>
      </c>
      <c r="J579">
        <v>3313</v>
      </c>
      <c r="K579" t="s">
        <v>715</v>
      </c>
    </row>
    <row r="580" spans="1:11" x14ac:dyDescent="0.35">
      <c r="A580">
        <v>1118028891</v>
      </c>
      <c r="B580" t="s">
        <v>110</v>
      </c>
      <c r="C580" s="152" t="s">
        <v>2962</v>
      </c>
      <c r="D580" t="s">
        <v>2279</v>
      </c>
      <c r="E580" t="s">
        <v>2592</v>
      </c>
      <c r="F580" t="s">
        <v>1433</v>
      </c>
      <c r="H580" t="s">
        <v>1498</v>
      </c>
      <c r="I580" t="s">
        <v>757</v>
      </c>
      <c r="J580">
        <v>3313</v>
      </c>
      <c r="K580" t="s">
        <v>715</v>
      </c>
    </row>
    <row r="581" spans="1:11" x14ac:dyDescent="0.35">
      <c r="A581">
        <v>1118028891</v>
      </c>
      <c r="B581" t="s">
        <v>110</v>
      </c>
      <c r="C581" s="152" t="s">
        <v>2962</v>
      </c>
      <c r="D581" t="s">
        <v>2279</v>
      </c>
      <c r="E581" t="s">
        <v>1435</v>
      </c>
      <c r="F581" t="s">
        <v>2278</v>
      </c>
      <c r="H581" t="s">
        <v>1439</v>
      </c>
      <c r="I581" t="s">
        <v>757</v>
      </c>
      <c r="J581">
        <v>3313</v>
      </c>
      <c r="K581" t="s">
        <v>715</v>
      </c>
    </row>
    <row r="582" spans="1:11" x14ac:dyDescent="0.35">
      <c r="A582">
        <v>1118028891</v>
      </c>
      <c r="B582" t="s">
        <v>110</v>
      </c>
      <c r="C582" s="152" t="s">
        <v>2962</v>
      </c>
      <c r="D582" t="s">
        <v>2593</v>
      </c>
      <c r="E582" t="s">
        <v>2594</v>
      </c>
      <c r="F582" t="s">
        <v>1433</v>
      </c>
      <c r="H582" t="s">
        <v>1498</v>
      </c>
      <c r="I582" t="s">
        <v>757</v>
      </c>
      <c r="J582">
        <v>3313</v>
      </c>
      <c r="K582" t="s">
        <v>715</v>
      </c>
    </row>
    <row r="583" spans="1:11" x14ac:dyDescent="0.35">
      <c r="A583">
        <v>1118028891</v>
      </c>
      <c r="B583" t="s">
        <v>110</v>
      </c>
      <c r="C583" s="152" t="s">
        <v>2962</v>
      </c>
      <c r="D583" t="s">
        <v>2593</v>
      </c>
      <c r="E583" t="s">
        <v>2595</v>
      </c>
      <c r="F583" t="s">
        <v>1433</v>
      </c>
      <c r="H583" t="s">
        <v>1498</v>
      </c>
      <c r="I583" t="s">
        <v>757</v>
      </c>
      <c r="J583">
        <v>3313</v>
      </c>
      <c r="K583" t="s">
        <v>715</v>
      </c>
    </row>
    <row r="584" spans="1:11" x14ac:dyDescent="0.35">
      <c r="A584">
        <v>1118028891</v>
      </c>
      <c r="B584" t="s">
        <v>110</v>
      </c>
      <c r="C584" s="152" t="s">
        <v>2962</v>
      </c>
      <c r="D584" t="s">
        <v>2277</v>
      </c>
      <c r="E584" t="s">
        <v>2375</v>
      </c>
      <c r="F584" t="s">
        <v>1433</v>
      </c>
      <c r="H584" t="s">
        <v>1498</v>
      </c>
      <c r="I584" t="s">
        <v>757</v>
      </c>
      <c r="J584">
        <v>3313</v>
      </c>
      <c r="K584" t="s">
        <v>715</v>
      </c>
    </row>
    <row r="585" spans="1:11" x14ac:dyDescent="0.35">
      <c r="A585">
        <v>1118028891</v>
      </c>
      <c r="B585" t="s">
        <v>110</v>
      </c>
      <c r="C585" s="152" t="s">
        <v>2962</v>
      </c>
      <c r="D585" t="s">
        <v>2277</v>
      </c>
      <c r="E585" t="s">
        <v>2596</v>
      </c>
      <c r="F585" t="s">
        <v>1433</v>
      </c>
      <c r="H585" t="s">
        <v>1498</v>
      </c>
      <c r="I585" t="s">
        <v>757</v>
      </c>
      <c r="J585">
        <v>3313</v>
      </c>
      <c r="K585" t="s">
        <v>715</v>
      </c>
    </row>
    <row r="586" spans="1:11" x14ac:dyDescent="0.35">
      <c r="A586">
        <v>1118028891</v>
      </c>
      <c r="B586" t="s">
        <v>110</v>
      </c>
      <c r="C586" s="152" t="s">
        <v>2962</v>
      </c>
      <c r="D586" t="s">
        <v>2597</v>
      </c>
      <c r="E586" t="s">
        <v>2598</v>
      </c>
      <c r="F586" t="s">
        <v>1433</v>
      </c>
      <c r="H586" t="s">
        <v>1498</v>
      </c>
      <c r="I586" t="s">
        <v>757</v>
      </c>
      <c r="J586">
        <v>3313</v>
      </c>
      <c r="K586" t="s">
        <v>715</v>
      </c>
    </row>
    <row r="587" spans="1:11" x14ac:dyDescent="0.35">
      <c r="A587">
        <v>1118028891</v>
      </c>
      <c r="B587" t="s">
        <v>110</v>
      </c>
      <c r="C587" s="152" t="s">
        <v>2962</v>
      </c>
      <c r="D587" t="s">
        <v>2597</v>
      </c>
      <c r="E587" t="s">
        <v>2599</v>
      </c>
      <c r="F587" t="s">
        <v>1433</v>
      </c>
      <c r="H587" t="s">
        <v>1498</v>
      </c>
      <c r="I587" t="s">
        <v>757</v>
      </c>
      <c r="J587">
        <v>3313</v>
      </c>
      <c r="K587" t="s">
        <v>715</v>
      </c>
    </row>
    <row r="588" spans="1:11" x14ac:dyDescent="0.35">
      <c r="A588">
        <v>1118031991</v>
      </c>
      <c r="B588" t="s">
        <v>251</v>
      </c>
      <c r="C588" s="150" t="s">
        <v>2961</v>
      </c>
      <c r="D588" t="s">
        <v>1492</v>
      </c>
      <c r="E588" t="s">
        <v>1495</v>
      </c>
      <c r="F588" t="s">
        <v>1493</v>
      </c>
      <c r="G588" t="s">
        <v>1494</v>
      </c>
      <c r="H588" t="s">
        <v>1498</v>
      </c>
      <c r="I588" t="s">
        <v>844</v>
      </c>
      <c r="J588">
        <v>5223</v>
      </c>
      <c r="K588" t="s">
        <v>679</v>
      </c>
    </row>
    <row r="589" spans="1:11" x14ac:dyDescent="0.35">
      <c r="C589" s="152"/>
    </row>
    <row r="590" spans="1:11" x14ac:dyDescent="0.35">
      <c r="C590" s="152"/>
    </row>
    <row r="591" spans="1:11" x14ac:dyDescent="0.35">
      <c r="C591" s="152"/>
    </row>
    <row r="592" spans="1:11" x14ac:dyDescent="0.35">
      <c r="C592" s="152"/>
    </row>
    <row r="593" spans="3:3" x14ac:dyDescent="0.35">
      <c r="C593" s="152"/>
    </row>
    <row r="594" spans="3:3" x14ac:dyDescent="0.35">
      <c r="C594" s="152"/>
    </row>
    <row r="595" spans="3:3" x14ac:dyDescent="0.35">
      <c r="C595" s="152"/>
    </row>
    <row r="596" spans="3:3" x14ac:dyDescent="0.35">
      <c r="C596" s="152"/>
    </row>
    <row r="597" spans="3:3" x14ac:dyDescent="0.35">
      <c r="C597" s="152"/>
    </row>
    <row r="598" spans="3:3" x14ac:dyDescent="0.35">
      <c r="C598" s="152"/>
    </row>
    <row r="599" spans="3:3" x14ac:dyDescent="0.35">
      <c r="C599" s="152"/>
    </row>
  </sheetData>
  <sortState xmlns:xlrd2="http://schemas.microsoft.com/office/spreadsheetml/2017/richdata2" ref="A2:J633">
    <sortCondition ref="A1:A633"/>
  </sortState>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CD072-8B00-487B-AF17-C4179B3EC25B}">
  <dimension ref="A1:B23"/>
  <sheetViews>
    <sheetView workbookViewId="0">
      <selection activeCell="D7" sqref="D7"/>
    </sheetView>
  </sheetViews>
  <sheetFormatPr baseColWidth="10" defaultRowHeight="14.5" x14ac:dyDescent="0.35"/>
  <cols>
    <col min="1" max="1" width="18.6328125" bestFit="1" customWidth="1"/>
    <col min="2" max="2" width="17.26953125" bestFit="1" customWidth="1"/>
  </cols>
  <sheetData>
    <row r="1" spans="1:2" x14ac:dyDescent="0.35">
      <c r="A1" s="171" t="s">
        <v>2968</v>
      </c>
    </row>
    <row r="2" spans="1:2" x14ac:dyDescent="0.35">
      <c r="A2" s="167" t="s">
        <v>2963</v>
      </c>
      <c r="B2" t="s">
        <v>2966</v>
      </c>
    </row>
    <row r="3" spans="1:2" x14ac:dyDescent="0.35">
      <c r="A3" s="168" t="s">
        <v>2278</v>
      </c>
      <c r="B3" s="169">
        <v>71</v>
      </c>
    </row>
    <row r="4" spans="1:2" x14ac:dyDescent="0.35">
      <c r="A4" s="168" t="s">
        <v>1917</v>
      </c>
      <c r="B4" s="169">
        <v>51</v>
      </c>
    </row>
    <row r="5" spans="1:2" x14ac:dyDescent="0.35">
      <c r="A5" s="168" t="s">
        <v>2387</v>
      </c>
      <c r="B5" s="169">
        <v>1</v>
      </c>
    </row>
    <row r="6" spans="1:2" x14ac:dyDescent="0.35">
      <c r="A6" s="168" t="s">
        <v>486</v>
      </c>
      <c r="B6" s="169">
        <v>1</v>
      </c>
    </row>
    <row r="7" spans="1:2" x14ac:dyDescent="0.35">
      <c r="A7" s="168" t="s">
        <v>1928</v>
      </c>
      <c r="B7" s="169">
        <v>2</v>
      </c>
    </row>
    <row r="8" spans="1:2" x14ac:dyDescent="0.35">
      <c r="A8" s="168" t="s">
        <v>1922</v>
      </c>
      <c r="B8" s="169">
        <v>29</v>
      </c>
    </row>
    <row r="9" spans="1:2" x14ac:dyDescent="0.35">
      <c r="A9" s="168" t="s">
        <v>1493</v>
      </c>
      <c r="B9" s="169">
        <v>89</v>
      </c>
    </row>
    <row r="10" spans="1:2" x14ac:dyDescent="0.35">
      <c r="A10" s="168" t="s">
        <v>1433</v>
      </c>
      <c r="B10" s="169">
        <v>343</v>
      </c>
    </row>
    <row r="11" spans="1:2" x14ac:dyDescent="0.35">
      <c r="A11" s="168" t="s">
        <v>2964</v>
      </c>
      <c r="B11" s="169"/>
    </row>
    <row r="12" spans="1:2" x14ac:dyDescent="0.35">
      <c r="A12" s="168" t="s">
        <v>2965</v>
      </c>
      <c r="B12" s="169">
        <v>587</v>
      </c>
    </row>
    <row r="14" spans="1:2" x14ac:dyDescent="0.35">
      <c r="A14" s="170" t="s">
        <v>2967</v>
      </c>
    </row>
    <row r="15" spans="1:2" x14ac:dyDescent="0.35">
      <c r="A15" s="167" t="s">
        <v>2963</v>
      </c>
      <c r="B15" t="s">
        <v>2966</v>
      </c>
    </row>
    <row r="16" spans="1:2" x14ac:dyDescent="0.35">
      <c r="A16" s="168" t="s">
        <v>1917</v>
      </c>
      <c r="B16" s="169">
        <v>5</v>
      </c>
    </row>
    <row r="17" spans="1:2" x14ac:dyDescent="0.35">
      <c r="A17" s="168" t="s">
        <v>2008</v>
      </c>
      <c r="B17" s="169">
        <v>8</v>
      </c>
    </row>
    <row r="18" spans="1:2" x14ac:dyDescent="0.35">
      <c r="A18" s="168" t="s">
        <v>1928</v>
      </c>
      <c r="B18" s="169">
        <v>2</v>
      </c>
    </row>
    <row r="19" spans="1:2" x14ac:dyDescent="0.35">
      <c r="A19" s="168" t="s">
        <v>1922</v>
      </c>
      <c r="B19" s="169">
        <v>9</v>
      </c>
    </row>
    <row r="20" spans="1:2" x14ac:dyDescent="0.35">
      <c r="A20" s="168" t="s">
        <v>1493</v>
      </c>
      <c r="B20" s="169">
        <v>72</v>
      </c>
    </row>
    <row r="21" spans="1:2" x14ac:dyDescent="0.35">
      <c r="A21" s="168" t="s">
        <v>1433</v>
      </c>
      <c r="B21" s="169">
        <v>58</v>
      </c>
    </row>
    <row r="22" spans="1:2" x14ac:dyDescent="0.35">
      <c r="A22" s="168" t="s">
        <v>2964</v>
      </c>
      <c r="B22" s="169"/>
    </row>
    <row r="23" spans="1:2" x14ac:dyDescent="0.35">
      <c r="A23" s="168" t="s">
        <v>2965</v>
      </c>
      <c r="B23" s="169">
        <v>154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19</vt:i4>
      </vt:variant>
    </vt:vector>
  </HeadingPairs>
  <TitlesOfParts>
    <vt:vector size="19" baseType="lpstr">
      <vt:lpstr>01_Ofertas_Originales</vt:lpstr>
      <vt:lpstr>02_NLP_Extraccion</vt:lpstr>
      <vt:lpstr>02_NLP_Extraccion (2)</vt:lpstr>
      <vt:lpstr>03_Matching_ESCO</vt:lpstr>
      <vt:lpstr>04_Resumen</vt:lpstr>
      <vt:lpstr>05_Feedback_NLP</vt:lpstr>
      <vt:lpstr>06_Resumen_Errores</vt:lpstr>
      <vt:lpstr>07_Reglas_Mejora</vt:lpstr>
      <vt:lpstr>08_Feedback_Matching</vt:lpstr>
      <vt:lpstr>09_Feedback_Skills_NLP</vt:lpstr>
      <vt:lpstr>10_Matching_Skills_ESCO</vt:lpstr>
      <vt:lpstr>11_Ofertas_Skills_ESCO</vt:lpstr>
      <vt:lpstr>12_Diccionario_ESCO</vt:lpstr>
      <vt:lpstr>13_Dashboard</vt:lpstr>
      <vt:lpstr>14_Eval_Tareas_NLP</vt:lpstr>
      <vt:lpstr>15_Skills_Desde_Tareas</vt:lpstr>
      <vt:lpstr>16_Skills_Impl_Tareas_ESCO</vt:lpstr>
      <vt:lpstr>17_Skills_Completas_ESCO</vt:lpstr>
      <vt:lpstr>Comparación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Gerardo Breard</cp:lastModifiedBy>
  <dcterms:created xsi:type="dcterms:W3CDTF">2025-12-10T22:26:24Z</dcterms:created>
  <dcterms:modified xsi:type="dcterms:W3CDTF">2025-12-15T19:59:58Z</dcterms:modified>
</cp:coreProperties>
</file>